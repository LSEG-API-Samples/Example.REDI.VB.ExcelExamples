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updateLinks="always" codeName="ThisWorkbook"/>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16410" windowHeight="2595"/>
  </bookViews>
  <sheets>
    <sheet name="L1" sheetId="1" r:id="rId1"/>
    <sheet name="Disclaimer" sheetId="5" r:id="rId2"/>
  </sheets>
  <functionGroups builtInGroupCount="18"/>
  <externalReferences>
    <externalReference r:id="rId3"/>
    <externalReference r:id="rId4"/>
    <externalReference r:id="rId5"/>
  </externalReferences>
  <definedNames>
    <definedName name="_xlnm._FilterDatabase" localSheetId="0" hidden="1">'L1'!$B$2:$N$2</definedName>
    <definedName name="Accounts">#REF!</definedName>
    <definedName name="dd">[1]REDISettings!#REF!</definedName>
    <definedName name="Dest_Locs_Opts">[2]Configuration!$D$3:$D$398</definedName>
    <definedName name="Destinations">#REF!</definedName>
    <definedName name="ExprDate">#REF!</definedName>
    <definedName name="PriceType">#REF!</definedName>
    <definedName name="REDISettings">#REF!</definedName>
    <definedName name="Sides">[1]REDISettings!$C$3:$C$7</definedName>
    <definedName name="StrikePrice">#REF!</definedName>
    <definedName name="TIF">#REF!</definedName>
  </definedNames>
  <calcPr calcId="171027"/>
</workbook>
</file>

<file path=xl/calcChain.xml><?xml version="1.0" encoding="utf-8"?>
<calcChain xmlns="http://schemas.openxmlformats.org/spreadsheetml/2006/main">
  <c r="N15" i="1" l="1"/>
  <c r="M15" i="1"/>
  <c r="L15" i="1"/>
  <c r="K15" i="1"/>
  <c r="J15" i="1"/>
  <c r="I15" i="1"/>
  <c r="H15" i="1"/>
  <c r="G15" i="1"/>
  <c r="F15" i="1"/>
  <c r="E15" i="1"/>
  <c r="D15" i="1"/>
  <c r="C15" i="1"/>
  <c r="N14" i="1"/>
  <c r="M14" i="1"/>
  <c r="L14" i="1"/>
  <c r="K14" i="1"/>
  <c r="J14" i="1"/>
  <c r="I14" i="1"/>
  <c r="H14" i="1"/>
  <c r="G14" i="1"/>
  <c r="F14" i="1"/>
  <c r="E14" i="1"/>
  <c r="D14" i="1"/>
  <c r="C14" i="1"/>
  <c r="N13" i="1" l="1"/>
  <c r="M13" i="1"/>
  <c r="L13" i="1"/>
  <c r="K13" i="1"/>
  <c r="J13" i="1"/>
  <c r="I13" i="1"/>
  <c r="H13" i="1"/>
  <c r="G13" i="1"/>
  <c r="F13" i="1"/>
  <c r="E13" i="1"/>
  <c r="D13" i="1"/>
  <c r="C13" i="1"/>
  <c r="N12" i="1" l="1"/>
  <c r="M12" i="1"/>
  <c r="L12" i="1"/>
  <c r="K12" i="1"/>
  <c r="J12" i="1"/>
  <c r="I12" i="1"/>
  <c r="H12" i="1"/>
  <c r="G12" i="1"/>
  <c r="F12" i="1"/>
  <c r="E12" i="1"/>
  <c r="D12" i="1"/>
  <c r="C12" i="1"/>
  <c r="N11" i="1"/>
  <c r="M11" i="1"/>
  <c r="L11" i="1"/>
  <c r="K11" i="1"/>
  <c r="J11" i="1"/>
  <c r="I11" i="1"/>
  <c r="H11" i="1"/>
  <c r="G11" i="1"/>
  <c r="F11" i="1"/>
  <c r="E11" i="1"/>
  <c r="D11" i="1"/>
  <c r="C11" i="1"/>
  <c r="N10" i="1" l="1"/>
  <c r="M10" i="1"/>
  <c r="L10" i="1"/>
  <c r="K10" i="1"/>
  <c r="J10" i="1"/>
  <c r="I10" i="1"/>
  <c r="H10" i="1"/>
  <c r="G10" i="1"/>
  <c r="F10" i="1"/>
  <c r="E10" i="1"/>
  <c r="D10" i="1"/>
  <c r="C10" i="1"/>
  <c r="E4" i="1"/>
  <c r="N9" i="1"/>
  <c r="M9" i="1"/>
  <c r="L9" i="1"/>
  <c r="K9" i="1"/>
  <c r="J9" i="1"/>
  <c r="I9" i="1"/>
  <c r="H9" i="1"/>
  <c r="G9" i="1"/>
  <c r="F9" i="1"/>
  <c r="E9" i="1"/>
  <c r="D9" i="1"/>
  <c r="C9" i="1"/>
  <c r="N8" i="1"/>
  <c r="M8" i="1"/>
  <c r="L8" i="1"/>
  <c r="K8" i="1"/>
  <c r="J8" i="1"/>
  <c r="I8" i="1"/>
  <c r="H8" i="1"/>
  <c r="G8" i="1"/>
  <c r="F8" i="1"/>
  <c r="E8" i="1"/>
  <c r="D8" i="1"/>
  <c r="C8" i="1"/>
  <c r="N7" i="1"/>
  <c r="M7" i="1"/>
  <c r="L7" i="1"/>
  <c r="K7" i="1"/>
  <c r="J7" i="1"/>
  <c r="I7" i="1"/>
  <c r="H7" i="1"/>
  <c r="G7" i="1"/>
  <c r="F7" i="1"/>
  <c r="E7" i="1"/>
  <c r="D7" i="1"/>
  <c r="C7" i="1"/>
  <c r="N6" i="1"/>
  <c r="M6" i="1"/>
  <c r="L6" i="1"/>
  <c r="K6" i="1"/>
  <c r="J6" i="1"/>
  <c r="I6" i="1"/>
  <c r="H6" i="1"/>
  <c r="G6" i="1"/>
  <c r="F6" i="1"/>
  <c r="E6" i="1"/>
  <c r="D6" i="1"/>
  <c r="C6" i="1"/>
  <c r="N5" i="1"/>
  <c r="M5" i="1"/>
  <c r="L5" i="1"/>
  <c r="K5" i="1"/>
  <c r="J5" i="1"/>
  <c r="I5" i="1"/>
  <c r="H5" i="1"/>
  <c r="G5" i="1"/>
  <c r="F5" i="1"/>
  <c r="E5" i="1"/>
  <c r="D5" i="1"/>
  <c r="C5" i="1"/>
  <c r="N4" i="1"/>
  <c r="M4" i="1"/>
  <c r="L4" i="1"/>
  <c r="K4" i="1"/>
  <c r="J4" i="1"/>
  <c r="I4" i="1"/>
  <c r="H4" i="1"/>
  <c r="G4" i="1"/>
  <c r="F4" i="1"/>
  <c r="D4" i="1"/>
  <c r="C4" i="1"/>
  <c r="N3" i="1"/>
  <c r="M3" i="1"/>
  <c r="L3" i="1"/>
  <c r="K3" i="1"/>
  <c r="J3" i="1"/>
  <c r="I3" i="1"/>
  <c r="H3" i="1"/>
  <c r="G3" i="1"/>
  <c r="F3" i="1"/>
  <c r="E3" i="1"/>
  <c r="D3" i="1"/>
  <c r="C3" i="1"/>
</calcChain>
</file>

<file path=xl/sharedStrings.xml><?xml version="1.0" encoding="utf-8"?>
<sst xmlns="http://schemas.openxmlformats.org/spreadsheetml/2006/main" count="26" uniqueCount="25">
  <si>
    <t>Symbol</t>
  </si>
  <si>
    <t>Ask</t>
  </si>
  <si>
    <t>Bid</t>
  </si>
  <si>
    <t>Description</t>
  </si>
  <si>
    <t>Last Px</t>
  </si>
  <si>
    <t>Net Chg</t>
  </si>
  <si>
    <t>% Chg</t>
  </si>
  <si>
    <t>VWAP</t>
  </si>
  <si>
    <t>Cls Px</t>
  </si>
  <si>
    <t>Open Px</t>
  </si>
  <si>
    <t>Last 
Tick</t>
  </si>
  <si>
    <t>IBM</t>
  </si>
  <si>
    <t>F</t>
  </si>
  <si>
    <t>PE</t>
  </si>
  <si>
    <t>CAT</t>
  </si>
  <si>
    <t>Outstanding 
Shares</t>
  </si>
  <si>
    <t>FB</t>
  </si>
  <si>
    <t>PHM</t>
  </si>
  <si>
    <t>TSLA</t>
  </si>
  <si>
    <t>SHAK</t>
  </si>
  <si>
    <t>MSFT</t>
  </si>
  <si>
    <t>APRN</t>
  </si>
  <si>
    <t>BABA</t>
  </si>
  <si>
    <t>ZVZZT</t>
  </si>
  <si>
    <t>TRI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</si>
</sst>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0"/>
      <name val="Calibri"/>
      <family val="2"/>
      <scheme val="minor"/>
    </font>
    <font>
      <sz val="9"/>
      <color theme="1"/>
      <name val="Calibri"/>
      <family val="2"/>
      <scheme val="minor"/>
    </font>
    <font>
      <b/>
      <sz val="9"/>
      <color theme="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1" tint="0.499984740745262"/>
        <bgColor indexed="64"/>
      </patternFill>
    </fill>
  </fills>
  <borders count="5">
    <border>
      <left/>
      <right/>
      <top/>
      <bottom/>
      <diagonal/>
    </border>
    <border>
      <left style="thin">
        <color rgb="FFEAEAEA"/>
      </left>
      <right/>
      <top style="thin">
        <color rgb="FFEAEAEA"/>
      </top>
      <bottom style="thin">
        <color rgb="FFEAEAEA"/>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style="thin">
        <color theme="0" tint="-4.9989318521683403E-2"/>
      </bottom>
      <diagonal/>
    </border>
  </borders>
  <cellStyleXfs count="1">
    <xf numFmtId="0" fontId="0" fillId="0" borderId="0"/>
  </cellStyleXfs>
  <cellXfs count="22">
    <xf numFmtId="0" fontId="0" fillId="0" borderId="0" xfId="0"/>
    <xf numFmtId="0" fontId="2" fillId="2" borderId="0" xfId="0" applyFont="1" applyFill="1" applyAlignment="1">
      <alignment vertical="center"/>
    </xf>
    <xf numFmtId="0" fontId="2" fillId="2" borderId="0" xfId="0" applyFont="1" applyFill="1" applyAlignment="1" applyProtection="1">
      <alignment vertical="center"/>
      <protection locked="0"/>
    </xf>
    <xf numFmtId="49" fontId="2" fillId="2" borderId="1" xfId="0" applyNumberFormat="1" applyFont="1" applyFill="1" applyBorder="1" applyAlignment="1" applyProtection="1">
      <alignment vertical="center"/>
      <protection locked="0"/>
    </xf>
    <xf numFmtId="0" fontId="2" fillId="0" borderId="0" xfId="0" applyFont="1" applyFill="1" applyAlignment="1">
      <alignment vertical="center"/>
    </xf>
    <xf numFmtId="4" fontId="2" fillId="0" borderId="0" xfId="0" applyNumberFormat="1" applyFont="1" applyFill="1" applyAlignment="1">
      <alignment vertical="center"/>
    </xf>
    <xf numFmtId="4" fontId="2" fillId="0" borderId="0" xfId="0" applyNumberFormat="1" applyFont="1" applyFill="1" applyBorder="1" applyAlignment="1">
      <alignment vertical="center"/>
    </xf>
    <xf numFmtId="0" fontId="2" fillId="0" borderId="0" xfId="0" applyFont="1" applyFill="1" applyBorder="1" applyAlignment="1">
      <alignment vertical="center"/>
    </xf>
    <xf numFmtId="4" fontId="2" fillId="2" borderId="0" xfId="0" applyNumberFormat="1" applyFont="1" applyFill="1" applyAlignment="1" applyProtection="1">
      <alignment vertical="center"/>
      <protection locked="0"/>
    </xf>
    <xf numFmtId="10" fontId="2" fillId="2" borderId="0" xfId="0" applyNumberFormat="1" applyFont="1" applyFill="1" applyAlignment="1" applyProtection="1">
      <alignment vertical="center"/>
      <protection locked="0"/>
    </xf>
    <xf numFmtId="10" fontId="2" fillId="0" borderId="0" xfId="0" applyNumberFormat="1" applyFont="1" applyFill="1" applyAlignment="1">
      <alignment vertical="center"/>
    </xf>
    <xf numFmtId="4" fontId="2" fillId="0" borderId="0" xfId="0" applyNumberFormat="1" applyFont="1" applyAlignment="1">
      <alignment vertical="center"/>
    </xf>
    <xf numFmtId="10" fontId="2" fillId="0" borderId="0" xfId="0" applyNumberFormat="1" applyFont="1" applyAlignment="1">
      <alignment vertical="center"/>
    </xf>
    <xf numFmtId="10" fontId="2" fillId="2" borderId="0" xfId="0" applyNumberFormat="1" applyFont="1" applyFill="1" applyAlignment="1" applyProtection="1">
      <alignment horizontal="center" vertical="center"/>
      <protection locked="0"/>
    </xf>
    <xf numFmtId="10" fontId="2" fillId="0" borderId="0" xfId="0" applyNumberFormat="1" applyFont="1" applyAlignment="1">
      <alignment horizontal="center" vertical="center"/>
    </xf>
    <xf numFmtId="10" fontId="2" fillId="0" borderId="0" xfId="0" applyNumberFormat="1" applyFont="1" applyFill="1" applyAlignment="1">
      <alignment horizontal="center" vertical="center"/>
    </xf>
    <xf numFmtId="0" fontId="1" fillId="3" borderId="2" xfId="0" applyFont="1" applyFill="1" applyBorder="1" applyAlignment="1" applyProtection="1">
      <alignment horizontal="center" vertical="center"/>
      <protection locked="0"/>
    </xf>
    <xf numFmtId="4" fontId="3" fillId="3" borderId="3" xfId="0" applyNumberFormat="1" applyFont="1" applyFill="1" applyBorder="1" applyAlignment="1" applyProtection="1">
      <alignment horizontal="center" vertical="center"/>
      <protection locked="0"/>
    </xf>
    <xf numFmtId="10" fontId="3" fillId="3" borderId="3" xfId="0" applyNumberFormat="1" applyFont="1" applyFill="1" applyBorder="1" applyAlignment="1" applyProtection="1">
      <alignment horizontal="center" vertical="center"/>
      <protection locked="0"/>
    </xf>
    <xf numFmtId="10" fontId="3" fillId="3" borderId="3" xfId="0" applyNumberFormat="1" applyFont="1" applyFill="1" applyBorder="1" applyAlignment="1" applyProtection="1">
      <alignment horizontal="center" vertical="center" wrapText="1"/>
      <protection locked="0"/>
    </xf>
    <xf numFmtId="4" fontId="3" fillId="3" borderId="4" xfId="0" applyNumberFormat="1" applyFont="1" applyFill="1" applyBorder="1" applyAlignment="1" applyProtection="1">
      <alignment horizontal="center" vertical="center" wrapText="1"/>
      <protection locked="0"/>
    </xf>
    <xf numFmtId="0" fontId="0" fillId="2" borderId="0" xfId="0" applyFill="1"/>
  </cellXfs>
  <cellStyles count="1">
    <cellStyle name="Normal" xfId="0" builtinId="0"/>
  </cellStyles>
  <dxfs count="2">
    <dxf>
      <font>
        <color rgb="FF0000FF"/>
      </font>
    </dxf>
    <dxf>
      <font>
        <color rgb="FFFF0000"/>
      </font>
    </dxf>
  </dxfs>
  <tableStyles count="0" defaultTableStyle="TableStyleMedium2" defaultPivotStyle="PivotStyleLight16"/>
  <colors>
    <mruColors>
      <color rgb="FFFF5050"/>
      <color rgb="FFFF0000"/>
      <color rgb="FF0000FF"/>
      <color rgb="FF3366FF"/>
      <color rgb="FFDE0000"/>
      <color rgb="FFB80000"/>
      <color rgb="FFD60000"/>
      <color rgb="FF0038EA"/>
      <color rgb="FFDDDDDD"/>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3.xml"/><Relationship Id="rId10" Type="http://schemas.microsoft.com/office/2006/relationships/vbaProject" Target="vbaProject.bin"/><Relationship Id="rId4" Type="http://schemas.openxmlformats.org/officeDocument/2006/relationships/externalLink" Target="externalLinks/externalLink2.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3</xdr:col>
      <xdr:colOff>314325</xdr:colOff>
      <xdr:row>0</xdr:row>
      <xdr:rowOff>123825</xdr:rowOff>
    </xdr:from>
    <xdr:ext cx="2581276" cy="374141"/>
    <xdr:sp macro="" textlink="">
      <xdr:nvSpPr>
        <xdr:cNvPr id="36" name="TextBox 35"/>
        <xdr:cNvSpPr txBox="1"/>
      </xdr:nvSpPr>
      <xdr:spPr>
        <a:xfrm>
          <a:off x="2466975" y="123825"/>
          <a:ext cx="258127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Qu</a:t>
          </a:r>
        </a:p>
      </xdr:txBody>
    </xdr:sp>
    <xdr:clientData/>
  </xdr:oneCellAnchor>
  <xdr:twoCellAnchor editAs="oneCell">
    <xdr:from>
      <xdr:col>0</xdr:col>
      <xdr:colOff>133351</xdr:colOff>
      <xdr:row>0</xdr:row>
      <xdr:rowOff>123825</xdr:rowOff>
    </xdr:from>
    <xdr:to>
      <xdr:col>3</xdr:col>
      <xdr:colOff>171451</xdr:colOff>
      <xdr:row>0</xdr:row>
      <xdr:rowOff>504825</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33351" y="123825"/>
          <a:ext cx="2190750" cy="381000"/>
        </a:xfrm>
        <a:prstGeom prst="rect">
          <a:avLst/>
        </a:prstGeom>
      </xdr:spPr>
    </xdr:pic>
    <xdr:clientData/>
  </xdr:twoCellAnchor>
  <xdr:oneCellAnchor>
    <xdr:from>
      <xdr:col>3</xdr:col>
      <xdr:colOff>314325</xdr:colOff>
      <xdr:row>0</xdr:row>
      <xdr:rowOff>123825</xdr:rowOff>
    </xdr:from>
    <xdr:ext cx="2236894" cy="374141"/>
    <xdr:sp macro="" textlink="">
      <xdr:nvSpPr>
        <xdr:cNvPr id="5" name="TextBox 4"/>
        <xdr:cNvSpPr txBox="1"/>
      </xdr:nvSpPr>
      <xdr:spPr>
        <a:xfrm>
          <a:off x="2466975" y="123825"/>
          <a:ext cx="2236894"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Quote Monitor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DDE</a:t>
          </a:r>
          <a:endParaRPr lang="en-US" sz="1800" b="0">
            <a:solidFill>
              <a:schemeClr val="tx1">
                <a:lumMod val="50000"/>
                <a:lumOff val="50000"/>
              </a:schemeClr>
            </a:solidFill>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xdr:cNvSpPr txBox="1"/>
      </xdr:nvSpPr>
      <xdr:spPr>
        <a:xfrm>
          <a:off x="2447925"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80975"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xdr:cNvSpPr txBox="1"/>
      </xdr:nvSpPr>
      <xdr:spPr>
        <a:xfrm>
          <a:off x="133350" y="676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APRN;AP" advise="1">
        <values>
          <value>
            <val>6.6</val>
          </value>
        </values>
      </ddeItem>
      <ddeItem name="APRN;BP" advise="1">
        <values>
          <value>
            <val>6.58</val>
          </value>
        </values>
      </ddeItem>
      <ddeItem name="APRN;CP" advise="1">
        <values>
          <value>
            <val>6.52</val>
          </value>
        </values>
      </ddeItem>
      <ddeItem name="APRN;LastTick" advise="1">
        <values>
          <value t="str">
            <val>Not Found</val>
          </value>
        </values>
      </ddeItem>
      <ddeItem name="APRN;LP" advise="1">
        <values>
          <value>
            <val>6.5979000000000001</val>
          </value>
        </values>
      </ddeItem>
      <ddeItem name="APRN;NC" advise="1">
        <values>
          <value>
            <val>7.7899999999999997E-2</val>
          </value>
        </values>
      </ddeItem>
      <ddeItem name="APRN;OP" advise="1">
        <values>
          <value>
            <val>6.48</val>
          </value>
        </values>
      </ddeItem>
      <ddeItem name="APRN;PC" advise="1">
        <values>
          <value>
            <val>1.1900000000000001E-2</val>
          </value>
        </values>
      </ddeItem>
      <ddeItem name="APRN;PE" advise="1">
        <values>
          <value t="str">
            <val>N/A</val>
          </value>
        </values>
      </ddeItem>
      <ddeItem name="APRN;SD" advise="1">
        <values>
          <value t="str">
            <val>BLUE APRON HOLDINGS, INC. CMN CLASS A</val>
          </value>
        </values>
      </ddeItem>
      <ddeItem name="APRN;VOL" advise="1">
        <values>
          <value>
            <val>3994</val>
          </value>
        </values>
      </ddeItem>
      <ddeItem name="APRN;VWAP" advise="1">
        <values>
          <value>
            <val>6.5033770000000004</val>
          </value>
        </values>
      </ddeItem>
      <ddeItem name="BABA;AP" advise="1">
        <values>
          <value>
            <val>151.13999999999999</val>
          </value>
        </values>
      </ddeItem>
      <ddeItem name="BABA;BP" advise="1">
        <values>
          <value>
            <val>151.11000000000001</val>
          </value>
        </values>
      </ddeItem>
      <ddeItem name="BABA;CP" advise="1">
        <values>
          <value>
            <val>152.11000000000001</val>
          </value>
        </values>
      </ddeItem>
      <ddeItem name="BABA;LastTick" advise="1">
        <values>
          <value t="str">
            <val>Not Found</val>
          </value>
        </values>
      </ddeItem>
      <ddeItem name="BABA;LP" advise="1">
        <values>
          <value>
            <val>151.125</val>
          </value>
        </values>
      </ddeItem>
      <ddeItem name="BABA;NC" advise="1">
        <values>
          <value>
            <val>-0.98499999999999999</val>
          </value>
        </values>
      </ddeItem>
      <ddeItem name="BABA;OP" advise="1">
        <values>
          <value>
            <val>151.5</val>
          </value>
        </values>
      </ddeItem>
      <ddeItem name="BABA;PC" advise="1">
        <values>
          <value>
            <val>-6.4999999999999997E-3</val>
          </value>
        </values>
      </ddeItem>
      <ddeItem name="BABA;PE" advise="1">
        <values>
          <value>
            <val>59.26</val>
          </value>
        </values>
      </ddeItem>
      <ddeItem name="BABA;SD" advise="1">
        <values>
          <value t="str">
            <val>ALIBABA GROUP HOLDING LIMITED SPONSORED ADR CMN</val>
          </value>
        </values>
      </ddeItem>
      <ddeItem name="BABA;VOL" advise="1">
        <values>
          <value>
            <val>70131</val>
          </value>
        </values>
      </ddeItem>
      <ddeItem name="BABA;VWAP" advise="1">
        <values>
          <value>
            <val>150.86252500000001</val>
          </value>
        </values>
      </ddeItem>
      <ddeItem name="CAT;AP" advise="1">
        <values>
          <value>
            <val>106.34</val>
          </value>
        </values>
      </ddeItem>
      <ddeItem name="CAT;BP" advise="1">
        <values>
          <value>
            <val>106.32</val>
          </value>
        </values>
      </ddeItem>
      <ddeItem name="CAT;CP" advise="1">
        <values>
          <value>
            <val>107.32</val>
          </value>
        </values>
      </ddeItem>
      <ddeItem name="CAT;LastTick" advise="1">
        <values>
          <value t="str">
            <val>Not Found</val>
          </value>
        </values>
      </ddeItem>
      <ddeItem name="CAT;LP" advise="1">
        <values>
          <value>
            <val>106.339</val>
          </value>
        </values>
      </ddeItem>
      <ddeItem name="CAT;NC" advise="1">
        <values>
          <value>
            <val>-0.98099999999999998</val>
          </value>
        </values>
      </ddeItem>
      <ddeItem name="CAT;OP" advise="1">
        <values>
          <value>
            <val>106.71</val>
          </value>
        </values>
      </ddeItem>
      <ddeItem name="CAT;PC" advise="1">
        <values>
          <value>
            <val>-9.1000000000000004E-3</val>
          </value>
        </values>
      </ddeItem>
      <ddeItem name="CAT;PE" advise="1">
        <values>
          <value>
            <val>32.32</val>
          </value>
        </values>
      </ddeItem>
      <ddeItem name="CAT;SD" advise="1">
        <values>
          <value t="str">
            <val>CATERPILLAR INC (DELAWARE)</val>
          </value>
        </values>
      </ddeItem>
      <ddeItem name="CAT;VOL" advise="1">
        <values>
          <value>
            <val>22670</val>
          </value>
        </values>
      </ddeItem>
      <ddeItem name="CAT;VWAP" advise="1">
        <values>
          <value>
            <val>105.862667</val>
          </value>
        </values>
      </ddeItem>
      <ddeItem name="F;AP" advise="1">
        <values>
          <value>
            <val>11.53</val>
          </value>
        </values>
      </ddeItem>
      <ddeItem name="F;BP" advise="1">
        <values>
          <value>
            <val>11.52</val>
          </value>
        </values>
      </ddeItem>
      <ddeItem name="F;CP" advise="1">
        <values>
          <value>
            <val>11.7</val>
          </value>
        </values>
      </ddeItem>
      <ddeItem name="F;LastTick" advise="1">
        <values>
          <value t="str">
            <val>Not Found</val>
          </value>
        </values>
      </ddeItem>
      <ddeItem name="F;LP" advise="1">
        <values>
          <value>
            <val>11.52</val>
          </value>
        </values>
      </ddeItem>
      <ddeItem name="F;NC" advise="1">
        <values>
          <value>
            <val>-0.18</val>
          </value>
        </values>
      </ddeItem>
      <ddeItem name="F;OP" advise="1">
        <values>
          <value>
            <val>11.6</val>
          </value>
        </values>
      </ddeItem>
      <ddeItem name="F;PC" advise="1">
        <values>
          <value>
            <val>-1.54E-2</val>
          </value>
        </values>
      </ddeItem>
      <ddeItem name="F;PE" advise="1">
        <values>
          <value>
            <val>12.26</val>
          </value>
        </values>
      </ddeItem>
      <ddeItem name="F;SD" advise="1">
        <values>
          <value t="str">
            <val>FORD MOTOR COMPANY CMN</val>
          </value>
        </values>
      </ddeItem>
      <ddeItem name="F;VOL" advise="1">
        <values>
          <value>
            <val>161639</val>
          </value>
        </values>
      </ddeItem>
      <ddeItem name="F;VWAP" advise="1">
        <values>
          <value>
            <val>11.530545999999999</val>
          </value>
        </values>
      </ddeItem>
      <ddeItem name="FB;AP" advise="1">
        <values>
          <value>
            <val>164.33</val>
          </value>
        </values>
      </ddeItem>
      <ddeItem name="FB;BP" advise="1">
        <values>
          <value>
            <val>164.32</val>
          </value>
        </values>
      </ddeItem>
      <ddeItem name="FB;CP" advise="1">
        <values>
          <value>
            <val>164.53</val>
          </value>
        </values>
      </ddeItem>
      <ddeItem name="FB;LastTick" advise="1">
        <values>
          <value t="str">
            <val>Not Found</val>
          </value>
        </values>
      </ddeItem>
      <ddeItem name="FB;LP" advise="1">
        <values>
          <value>
            <val>164.32249999999999</val>
          </value>
        </values>
      </ddeItem>
      <ddeItem name="FB;NC" advise="1">
        <values>
          <value>
            <val>-0.20749999999999999</val>
          </value>
        </values>
      </ddeItem>
      <ddeItem name="FB;OP" advise="1">
        <values>
          <value>
            <val>163.79</val>
          </value>
        </values>
      </ddeItem>
      <ddeItem name="FB;PC" advise="1">
        <values>
          <value>
            <val>-1.2999999999999999E-3</val>
          </value>
        </values>
      </ddeItem>
      <ddeItem name="FB;PE" advise="1">
        <values>
          <value>
            <val>40.98</val>
          </value>
        </values>
      </ddeItem>
      <ddeItem name="FB;SD" advise="1">
        <values>
          <value t="str">
            <val>FACEBOOK, INC. CMN CLASS A</val>
          </value>
        </values>
      </ddeItem>
      <ddeItem name="FB;VOL" advise="1">
        <values>
          <value>
            <val>75656</val>
          </value>
        </values>
      </ddeItem>
      <ddeItem name="FB;VWAP" advise="1">
        <values>
          <value>
            <val>164.37844999999999</val>
          </value>
        </values>
      </ddeItem>
      <ddeItem name="IBM;AP" advise="1">
        <values>
          <value>
            <val>146.97999999999999</val>
          </value>
        </values>
      </ddeItem>
      <ddeItem name="IBM;BP" advise="1">
        <values>
          <value>
            <val>146.94999999999999</val>
          </value>
        </values>
      </ddeItem>
      <ddeItem name="IBM;CP" advise="1">
        <values>
          <value>
            <val>147.66</val>
          </value>
        </values>
      </ddeItem>
      <ddeItem name="IBM;LastTick" advise="1">
        <values>
          <value t="str">
            <val>Not Found</val>
          </value>
        </values>
      </ddeItem>
      <ddeItem name="IBM;LP" advise="1">
        <values>
          <value>
            <val>146.96</val>
          </value>
        </values>
      </ddeItem>
      <ddeItem name="IBM;NC" advise="1">
        <values>
          <value>
            <val>-0.7</val>
          </value>
        </values>
      </ddeItem>
      <ddeItem name="IBM;OP" advise="1">
        <values>
          <value>
            <val>147.55000000000001</val>
          </value>
        </values>
      </ddeItem>
      <ddeItem name="IBM;PC" advise="1">
        <values>
          <value>
            <val>-4.7000000000000002E-3</val>
          </value>
        </values>
      </ddeItem>
      <ddeItem name="IBM;PE" advise="1">
        <values>
          <value>
            <val>12.17</val>
          </value>
        </values>
      </ddeItem>
      <ddeItem name="IBM;SD" advise="1">
        <values>
          <value t="str">
            <val>INTL BUSINESS MACHINES CORP</val>
          </value>
        </values>
      </ddeItem>
      <ddeItem name="IBM;VOL" advise="1">
        <values>
          <value>
            <val>16898</val>
          </value>
        </values>
      </ddeItem>
      <ddeItem name="IBM;VWAP" advise="1">
        <values>
          <value>
            <val>147.47447099999999</val>
          </value>
        </values>
      </ddeItem>
      <ddeItem name="MSFT;AP" advise="1">
        <values>
          <value>
            <val>73.83</val>
          </value>
        </values>
      </ddeItem>
      <ddeItem name="MSFT;BP" advise="1">
        <values>
          <value>
            <val>73.819999999999993</val>
          </value>
        </values>
      </ddeItem>
      <ddeItem name="MSFT;CP" advise="1">
        <values>
          <value>
            <val>74.22</val>
          </value>
        </values>
      </ddeItem>
      <ddeItem name="MSFT;LastTick" advise="1">
        <values>
          <value t="str">
            <val>Not Found</val>
          </value>
        </values>
      </ddeItem>
      <ddeItem name="MSFT;LP" advise="1">
        <values>
          <value>
            <val>73.83</val>
          </value>
        </values>
      </ddeItem>
      <ddeItem name="MSFT;NC" advise="1">
        <values>
          <value>
            <val>-0.39</val>
          </value>
        </values>
      </ddeItem>
      <ddeItem name="MSFT;OP" advise="1">
        <values>
          <value>
            <val>73.48</val>
          </value>
        </values>
      </ddeItem>
      <ddeItem name="MSFT;PC" advise="1">
        <values>
          <value>
            <val>-5.3E-3</val>
          </value>
        </values>
      </ddeItem>
      <ddeItem name="MSFT;PE" advise="1">
        <values>
          <value>
            <val>32.24</val>
          </value>
        </values>
      </ddeItem>
      <ddeItem name="MSFT;SD" advise="1">
        <values>
          <value t="str">
            <val>MICROSOFT CORPORATION CMN</val>
          </value>
        </values>
      </ddeItem>
      <ddeItem name="MSFT;VOL" advise="1">
        <values>
          <value>
            <val>266170</val>
          </value>
        </values>
      </ddeItem>
      <ddeItem name="MSFT;VWAP" advise="1">
        <values>
          <value>
            <val>73.782120000000006</val>
          </value>
        </values>
      </ddeItem>
      <ddeItem name="PHM;AP" advise="1">
        <values>
          <value>
            <val>24.38</val>
          </value>
        </values>
      </ddeItem>
      <ddeItem name="PHM;BP" advise="1">
        <values>
          <value>
            <val>24.37</val>
          </value>
        </values>
      </ddeItem>
      <ddeItem name="PHM;CP" advise="1">
        <values>
          <value>
            <val>24.29</val>
          </value>
        </values>
      </ddeItem>
      <ddeItem name="PHM;LastTick" advise="1">
        <values>
          <value t="str">
            <val>Not Found</val>
          </value>
        </values>
      </ddeItem>
      <ddeItem name="PHM;LP" advise="1">
        <values>
          <value>
            <val>24.375</val>
          </value>
        </values>
      </ddeItem>
      <ddeItem name="PHM;NC" advise="1">
        <values>
          <value>
            <val>8.5000000000000006E-2</val>
          </value>
        </values>
      </ddeItem>
      <ddeItem name="PHM;OP" advise="1">
        <values>
          <value>
            <val>24.27</val>
          </value>
        </values>
      </ddeItem>
      <ddeItem name="PHM;PC" advise="1">
        <values>
          <value>
            <val>3.5000000000000001E-3</val>
          </value>
        </values>
      </ddeItem>
      <ddeItem name="PHM;PE" advise="1">
        <values>
          <value>
            <val>13.47</val>
          </value>
        </values>
      </ddeItem>
      <ddeItem name="PHM;SD" advise="1">
        <values>
          <value t="str">
            <val>PULTEGROUP INC.</val>
          </value>
        </values>
      </ddeItem>
      <ddeItem name="PHM;VOL" advise="1">
        <values>
          <value>
            <val>15818</val>
          </value>
        </values>
      </ddeItem>
      <ddeItem name="PHM;VWAP" advise="1">
        <values>
          <value>
            <val>24.381888</val>
          </value>
        </values>
      </ddeItem>
      <ddeItem name="SHAK;AP" advise="1">
        <values>
          <value>
            <val>35.04</val>
          </value>
        </values>
      </ddeItem>
      <ddeItem name="SHAK;BP" advise="1">
        <values>
          <value>
            <val>35.020000000000003</val>
          </value>
        </values>
      </ddeItem>
      <ddeItem name="SHAK;CP" advise="1">
        <values>
          <value>
            <val>35.020000000000003</val>
          </value>
        </values>
      </ddeItem>
      <ddeItem name="SHAK;LastTick" advise="1">
        <values>
          <value t="str">
            <val>Not Found</val>
          </value>
        </values>
      </ddeItem>
      <ddeItem name="SHAK;LP" advise="1">
        <values>
          <value>
            <val>35.04</val>
          </value>
        </values>
      </ddeItem>
      <ddeItem name="SHAK;NC" advise="1">
        <values>
          <value>
            <val>0.02</val>
          </value>
        </values>
      </ddeItem>
      <ddeItem name="SHAK;OP" advise="1">
        <values>
          <value>
            <val>35.15</val>
          </value>
        </values>
      </ddeItem>
      <ddeItem name="SHAK;PC" advise="1">
        <values>
          <value>
            <val>5.9999999999999995E-4</val>
          </value>
        </values>
      </ddeItem>
      <ddeItem name="SHAK;PE" advise="1">
        <values>
          <value>
            <val>62.57</val>
          </value>
        </values>
      </ddeItem>
      <ddeItem name="SHAK;SD" advise="1">
        <values>
          <value t="str">
            <val>SHAKE SHACK INC. CMN CLASS A</val>
          </value>
        </values>
      </ddeItem>
      <ddeItem name="SHAK;VOL" advise="1">
        <values>
          <value>
            <val>1113</val>
          </value>
        </values>
      </ddeItem>
      <ddeItem name="SHAK;VWAP" advise="1">
        <values>
          <value>
            <val>35.067999</val>
          </value>
        </values>
      </ddeItem>
      <ddeItem name="StdDocumentName" ole="1" advise="1"/>
      <ddeItem name="TRI;AP" advise="1">
        <values>
          <value>
            <val>45.78</val>
          </value>
        </values>
      </ddeItem>
      <ddeItem name="TRI;BP" advise="1">
        <values>
          <value>
            <val>45.76</val>
          </value>
        </values>
      </ddeItem>
      <ddeItem name="TRI;CP" advise="1">
        <values>
          <value>
            <val>45.88</val>
          </value>
        </values>
      </ddeItem>
      <ddeItem name="TRI;LastTick" advise="1">
        <values>
          <value t="str">
            <val>Not Found</val>
          </value>
        </values>
      </ddeItem>
      <ddeItem name="TRI;LP" advise="1">
        <values>
          <value>
            <val>45.77</val>
          </value>
        </values>
      </ddeItem>
      <ddeItem name="TRI;NC" advise="1">
        <values>
          <value>
            <val>-0.11</val>
          </value>
        </values>
      </ddeItem>
      <ddeItem name="TRI;OP" advise="1">
        <values>
          <value>
            <val>45.89</val>
          </value>
        </values>
      </ddeItem>
      <ddeItem name="TRI;PC" advise="1">
        <values>
          <value>
            <val>-2.3999999999999998E-3</val>
          </value>
        </values>
      </ddeItem>
      <ddeItem name="TRI;PE" advise="1">
        <values>
          <value t="str">
            <val>Not Found</val>
          </value>
        </values>
      </ddeItem>
      <ddeItem name="TRI;SD" advise="1">
        <values>
          <value t="str">
            <val>THOMSON REUTERS CORPORATION</val>
          </value>
        </values>
      </ddeItem>
      <ddeItem name="TRI;VOL" advise="1">
        <values>
          <value>
            <val>3103</val>
          </value>
        </values>
      </ddeItem>
      <ddeItem name="TRI;VWAP" advise="1">
        <values>
          <value>
            <val>45.840522</val>
          </value>
        </values>
      </ddeItem>
      <ddeItem name="TSLA;AP" advise="1">
        <values>
          <value>
            <val>329.7</val>
          </value>
        </values>
      </ddeItem>
      <ddeItem name="TSLA;BP" advise="1">
        <values>
          <value>
            <val>329.53</val>
          </value>
        </values>
      </ddeItem>
      <ddeItem name="TSLA;CP" advise="1">
        <values>
          <value>
            <val>329.92</val>
          </value>
        </values>
      </ddeItem>
      <ddeItem name="TSLA;LastTick" advise="1">
        <values>
          <value t="str">
            <val>Not Found</val>
          </value>
        </values>
      </ddeItem>
      <ddeItem name="TSLA;LP" advise="1">
        <values>
          <value>
            <val>329.69</val>
          </value>
        </values>
      </ddeItem>
      <ddeItem name="TSLA;NC" advise="1">
        <values>
          <value>
            <val>-0.23</val>
          </value>
        </values>
      </ddeItem>
      <ddeItem name="TSLA;OP" advise="1">
        <values>
          <value>
            <val>329</val>
          </value>
        </values>
      </ddeItem>
      <ddeItem name="TSLA;PC" advise="1">
        <values>
          <value>
            <val>-6.9999999999999999E-4</val>
          </value>
        </values>
      </ddeItem>
      <ddeItem name="TSLA;PE" advise="1">
        <values>
          <value t="str">
            <val>N/A</val>
          </value>
        </values>
      </ddeItem>
      <ddeItem name="TSLA;SD" advise="1">
        <values>
          <value t="str">
            <val>TESLA, INC.</val>
          </value>
        </values>
      </ddeItem>
      <ddeItem name="TSLA;VOL" advise="1">
        <values>
          <value>
            <val>24406</val>
          </value>
        </values>
      </ddeItem>
      <ddeItem name="TSLA;VWAP" advise="1">
        <values>
          <value>
            <val>328.34356600000001</val>
          </value>
        </values>
      </ddeItem>
      <ddeItem name="ZVZZT;AP" advise="1">
        <values>
          <value>
            <val>10.02</val>
          </value>
        </values>
      </ddeItem>
      <ddeItem name="ZVZZT;BP" advise="1">
        <values>
          <value>
            <val>9.99</val>
          </value>
        </values>
      </ddeItem>
      <ddeItem name="ZVZZT;CP" advise="1">
        <values>
          <value>
            <val>9.99</val>
          </value>
        </values>
      </ddeItem>
      <ddeItem name="ZVZZT;LastTick" advise="1">
        <values>
          <value t="str">
            <val>Not Found</val>
          </value>
        </values>
      </ddeItem>
      <ddeItem name="ZVZZT;LP" advise="1">
        <values>
          <value>
            <val>10.02</val>
          </value>
        </values>
      </ddeItem>
      <ddeItem name="ZVZZT;NC" advise="1">
        <values>
          <value>
            <val>0.03</val>
          </value>
        </values>
      </ddeItem>
      <ddeItem name="ZVZZT;OP" advise="1">
        <values>
          <value>
            <val>10.02</val>
          </value>
        </values>
      </ddeItem>
      <ddeItem name="ZVZZT;PC" advise="1">
        <values>
          <value>
            <val>3.0000000000000001E-3</val>
          </value>
        </values>
      </ddeItem>
      <ddeItem name="ZVZZT;PE" advise="1">
        <values>
          <value t="str">
            <val>Not Found</val>
          </value>
        </values>
      </ddeItem>
      <ddeItem name="ZVZZT;SD" advise="1">
        <values>
          <value t="str">
            <val>TEST</val>
          </value>
        </values>
      </ddeItem>
      <ddeItem name="ZVZZT;VOL" advise="1">
        <values>
          <value>
            <val>8866</val>
          </value>
        </values>
      </ddeItem>
      <ddeItem name="ZVZZT;VWAP" advise="1">
        <values>
          <value>
            <val>10.028293</val>
          </value>
        </values>
      </ddeItem>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lumMod val="40000"/>
            <a:lumOff val="60000"/>
          </a:schemeClr>
        </a:solidFill>
        <a:ln w="19050"/>
      </a:spPr>
      <a:bodyPr vertOverflow="clip" horzOverflow="clip" rtlCol="0" anchor="ctr"/>
      <a:lstStyle>
        <a:defPPr algn="l">
          <a:defRPr sz="1100" b="1">
            <a:solidFill>
              <a:srgbClr val="FF0000"/>
            </a:solidFill>
          </a:defRPr>
        </a:defPPr>
      </a:lstStyle>
      <a:style>
        <a:lnRef idx="2">
          <a:schemeClr val="accent3">
            <a:shade val="50000"/>
          </a:schemeClr>
        </a:lnRef>
        <a:fillRef idx="1">
          <a:schemeClr val="accent3"/>
        </a:fillRef>
        <a:effectRef idx="0">
          <a:schemeClr val="accent3"/>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371"/>
  <sheetViews>
    <sheetView tabSelected="1" zoomScaleNormal="100" workbookViewId="0">
      <pane ySplit="2" topLeftCell="A3" activePane="bottomLeft" state="frozen"/>
      <selection pane="bottomLeft" activeCell="O7" sqref="O7"/>
    </sheetView>
  </sheetViews>
  <sheetFormatPr defaultRowHeight="20.100000000000001" customHeight="1" x14ac:dyDescent="0.25"/>
  <cols>
    <col min="1" max="1" width="2.28515625" style="1" customWidth="1"/>
    <col min="2" max="2" width="11.85546875" style="4" bestFit="1" customWidth="1"/>
    <col min="3" max="3" width="18.140625" style="5" customWidth="1"/>
    <col min="4" max="4" width="10.28515625" style="5" bestFit="1" customWidth="1"/>
    <col min="5" max="5" width="10.85546875" style="5" bestFit="1" customWidth="1"/>
    <col min="6" max="6" width="9.5703125" style="10" bestFit="1" customWidth="1"/>
    <col min="7" max="7" width="7.5703125" style="15" customWidth="1"/>
    <col min="8" max="8" width="9.7109375" style="5" bestFit="1" customWidth="1"/>
    <col min="9" max="10" width="8.7109375" style="5" bestFit="1" customWidth="1"/>
    <col min="11" max="11" width="9.42578125" style="5" bestFit="1" customWidth="1"/>
    <col min="12" max="12" width="11.140625" style="5" bestFit="1" customWidth="1"/>
    <col min="13" max="13" width="11.85546875" style="5" bestFit="1" customWidth="1"/>
    <col min="14" max="14" width="11.42578125" style="5" bestFit="1" customWidth="1"/>
    <col min="15" max="15" width="21.42578125" style="1" customWidth="1"/>
    <col min="16" max="16384" width="9.140625" style="1"/>
  </cols>
  <sheetData>
    <row r="1" spans="1:14" ht="45" customHeight="1" x14ac:dyDescent="0.25">
      <c r="A1" s="2"/>
      <c r="B1" s="2"/>
      <c r="C1" s="8"/>
      <c r="D1" s="8"/>
      <c r="E1" s="8"/>
      <c r="F1" s="9"/>
      <c r="G1" s="13"/>
      <c r="H1" s="8"/>
      <c r="I1" s="8"/>
      <c r="J1" s="8"/>
      <c r="K1" s="8"/>
      <c r="L1" s="8"/>
      <c r="M1" s="8"/>
      <c r="N1" s="8"/>
    </row>
    <row r="2" spans="1:14" ht="24.95" customHeight="1" x14ac:dyDescent="0.25">
      <c r="A2" s="2"/>
      <c r="B2" s="16" t="s">
        <v>0</v>
      </c>
      <c r="C2" s="17" t="s">
        <v>3</v>
      </c>
      <c r="D2" s="17" t="s">
        <v>4</v>
      </c>
      <c r="E2" s="17" t="s">
        <v>5</v>
      </c>
      <c r="F2" s="18" t="s">
        <v>6</v>
      </c>
      <c r="G2" s="19" t="s">
        <v>10</v>
      </c>
      <c r="H2" s="17" t="s">
        <v>7</v>
      </c>
      <c r="I2" s="17" t="s">
        <v>2</v>
      </c>
      <c r="J2" s="17" t="s">
        <v>1</v>
      </c>
      <c r="K2" s="17" t="s">
        <v>8</v>
      </c>
      <c r="L2" s="17" t="s">
        <v>9</v>
      </c>
      <c r="M2" s="17" t="s">
        <v>13</v>
      </c>
      <c r="N2" s="20" t="s">
        <v>15</v>
      </c>
    </row>
    <row r="3" spans="1:14" ht="18" customHeight="1" x14ac:dyDescent="0.25">
      <c r="A3" s="3"/>
      <c r="B3" s="7" t="s">
        <v>12</v>
      </c>
      <c r="C3" s="11" t="str">
        <f>[3]!'F;SD'</f>
        <v>FORD MOTOR COMPANY CMN</v>
      </c>
      <c r="D3" s="11">
        <f>[3]!'F;LP'</f>
        <v>11.52</v>
      </c>
      <c r="E3" s="11">
        <f>[3]!'F;NC'</f>
        <v>-0.18</v>
      </c>
      <c r="F3" s="12">
        <f>[3]!'F;PC'</f>
        <v>-1.54E-2</v>
      </c>
      <c r="G3" s="14">
        <f>IF([3]!'F;LastTick'="D",0,2)</f>
        <v>2</v>
      </c>
      <c r="H3" s="11">
        <f>[3]!'F;VWAP'</f>
        <v>11.530545999999999</v>
      </c>
      <c r="I3" s="11">
        <f>[3]!'F;BP'</f>
        <v>11.52</v>
      </c>
      <c r="J3" s="11">
        <f>[3]!'F;AP'</f>
        <v>11.53</v>
      </c>
      <c r="K3" s="11">
        <f>[3]!'F;CP'</f>
        <v>11.7</v>
      </c>
      <c r="L3" s="11">
        <f>[3]!'F;OP'</f>
        <v>11.6</v>
      </c>
      <c r="M3" s="11">
        <f>[3]!'F;PE'</f>
        <v>12.26</v>
      </c>
      <c r="N3" s="11">
        <f>[3]!'F;VOL'</f>
        <v>161639</v>
      </c>
    </row>
    <row r="4" spans="1:14" ht="18" customHeight="1" x14ac:dyDescent="0.25">
      <c r="A4" s="3"/>
      <c r="B4" s="7" t="s">
        <v>16</v>
      </c>
      <c r="C4" s="11" t="str">
        <f>[3]!'FB;SD'</f>
        <v>FACEBOOK, INC. CMN CLASS A</v>
      </c>
      <c r="D4" s="11">
        <f>[3]!'FB;LP'</f>
        <v>164.32249999999999</v>
      </c>
      <c r="E4" s="11">
        <f>[3]!'FB;NC'</f>
        <v>-0.20749999999999999</v>
      </c>
      <c r="F4" s="12">
        <f>[3]!'FB;PC'</f>
        <v>-1.2999999999999999E-3</v>
      </c>
      <c r="G4" s="14">
        <f>IF([3]!'FB;LastTick'="D",0,2)</f>
        <v>2</v>
      </c>
      <c r="H4" s="11">
        <f>[3]!'FB;VWAP'</f>
        <v>164.37844999999999</v>
      </c>
      <c r="I4" s="11">
        <f>[3]!'FB;BP'</f>
        <v>164.32</v>
      </c>
      <c r="J4" s="11">
        <f>[3]!'FB;AP'</f>
        <v>164.33</v>
      </c>
      <c r="K4" s="11">
        <f>[3]!'FB;CP'</f>
        <v>164.53</v>
      </c>
      <c r="L4" s="11">
        <f>[3]!'FB;OP'</f>
        <v>163.79</v>
      </c>
      <c r="M4" s="11">
        <f>[3]!'FB;PE'</f>
        <v>40.98</v>
      </c>
      <c r="N4" s="11">
        <f>[3]!'FB;VOL'</f>
        <v>75656</v>
      </c>
    </row>
    <row r="5" spans="1:14" ht="18" customHeight="1" x14ac:dyDescent="0.25">
      <c r="A5" s="3"/>
      <c r="B5" s="4" t="s">
        <v>11</v>
      </c>
      <c r="C5" s="5" t="str">
        <f>[3]!'IBM;SD'</f>
        <v>INTL BUSINESS MACHINES CORP</v>
      </c>
      <c r="D5" s="5">
        <f>[3]!'IBM;LP'</f>
        <v>146.96</v>
      </c>
      <c r="E5" s="5">
        <f>[3]!'IBM;NC'</f>
        <v>-0.7</v>
      </c>
      <c r="F5" s="10">
        <f>[3]!'IBM;PC'</f>
        <v>-4.7000000000000002E-3</v>
      </c>
      <c r="G5" s="15">
        <f>IF([3]!'IBM;LastTick'="D",0,2)</f>
        <v>2</v>
      </c>
      <c r="H5" s="5">
        <f>[3]!'IBM;VWAP'</f>
        <v>147.47447099999999</v>
      </c>
      <c r="I5" s="5">
        <f>[3]!'IBM;BP'</f>
        <v>146.94999999999999</v>
      </c>
      <c r="J5" s="5">
        <f>[3]!'IBM;AP'</f>
        <v>146.97999999999999</v>
      </c>
      <c r="K5" s="5">
        <f>[3]!'IBM;CP'</f>
        <v>147.66</v>
      </c>
      <c r="L5" s="5">
        <f>[3]!'IBM;OP'</f>
        <v>147.55000000000001</v>
      </c>
      <c r="M5" s="5">
        <f>[3]!'IBM;PE'</f>
        <v>12.17</v>
      </c>
      <c r="N5" s="5">
        <f>[3]!'IBM;VOL'</f>
        <v>16898</v>
      </c>
    </row>
    <row r="6" spans="1:14" ht="18" customHeight="1" x14ac:dyDescent="0.25">
      <c r="A6" s="3"/>
      <c r="B6" s="7" t="s">
        <v>14</v>
      </c>
      <c r="C6" s="5" t="str">
        <f>[3]!'CAT;SD'</f>
        <v>CATERPILLAR INC (DELAWARE)</v>
      </c>
      <c r="D6" s="5">
        <f>[3]!'CAT;LP'</f>
        <v>106.339</v>
      </c>
      <c r="E6" s="5">
        <f>[3]!'CAT;NC'</f>
        <v>-0.98099999999999998</v>
      </c>
      <c r="F6" s="10">
        <f>[3]!'CAT;PC'</f>
        <v>-9.1000000000000004E-3</v>
      </c>
      <c r="G6" s="15">
        <f>IF([3]!'CAT;LastTick'="D",0,2)</f>
        <v>2</v>
      </c>
      <c r="H6" s="6">
        <f>[3]!'CAT;VWAP'</f>
        <v>105.862667</v>
      </c>
      <c r="I6" s="6">
        <f>[3]!'CAT;BP'</f>
        <v>106.32</v>
      </c>
      <c r="J6" s="5">
        <f>[3]!'CAT;AP'</f>
        <v>106.34</v>
      </c>
      <c r="K6" s="5">
        <f>[3]!'CAT;CP'</f>
        <v>107.32</v>
      </c>
      <c r="L6" s="5">
        <f>[3]!'CAT;OP'</f>
        <v>106.71</v>
      </c>
      <c r="M6" s="5">
        <f>[3]!'CAT;PE'</f>
        <v>32.32</v>
      </c>
      <c r="N6" s="5">
        <f>[3]!'CAT;VOL'</f>
        <v>22670</v>
      </c>
    </row>
    <row r="7" spans="1:14" ht="18" customHeight="1" x14ac:dyDescent="0.25">
      <c r="A7" s="3"/>
      <c r="B7" s="4" t="s">
        <v>17</v>
      </c>
      <c r="C7" s="5" t="str">
        <f>[3]!'PHM;SD'</f>
        <v>PULTEGROUP INC.</v>
      </c>
      <c r="D7" s="5">
        <f>[3]!'PHM;LP'</f>
        <v>24.375</v>
      </c>
      <c r="E7" s="5">
        <f>[3]!'PHM;NC'</f>
        <v>8.5000000000000006E-2</v>
      </c>
      <c r="F7" s="10">
        <f>[3]!'PHM;PC'</f>
        <v>3.5000000000000001E-3</v>
      </c>
      <c r="G7" s="15">
        <f>IF([3]!'PHM;LastTick'="D",0,2)</f>
        <v>2</v>
      </c>
      <c r="H7" s="5">
        <f>[3]!'PHM;VWAP'</f>
        <v>24.381888</v>
      </c>
      <c r="I7" s="5">
        <f>[3]!'PHM;BP'</f>
        <v>24.37</v>
      </c>
      <c r="J7" s="5">
        <f>[3]!'PHM;AP'</f>
        <v>24.38</v>
      </c>
      <c r="K7" s="5">
        <f>[3]!'PHM;CP'</f>
        <v>24.29</v>
      </c>
      <c r="L7" s="5">
        <f>[3]!'PHM;OP'</f>
        <v>24.27</v>
      </c>
      <c r="M7" s="5">
        <f>[3]!'PHM;PE'</f>
        <v>13.47</v>
      </c>
      <c r="N7" s="5">
        <f>[3]!'PHM;VOL'</f>
        <v>15818</v>
      </c>
    </row>
    <row r="8" spans="1:14" ht="18" customHeight="1" x14ac:dyDescent="0.25">
      <c r="A8" s="3"/>
      <c r="B8" s="4" t="s">
        <v>18</v>
      </c>
      <c r="C8" s="5" t="str">
        <f>[3]!'TSLA;SD'</f>
        <v>TESLA, INC.</v>
      </c>
      <c r="D8" s="5">
        <f>[3]!'TSLA;LP'</f>
        <v>329.69</v>
      </c>
      <c r="E8" s="5">
        <f>[3]!'TSLA;NC'</f>
        <v>-0.23</v>
      </c>
      <c r="F8" s="10">
        <f>[3]!'TSLA;PC'</f>
        <v>-6.9999999999999999E-4</v>
      </c>
      <c r="G8" s="15">
        <f>IF([3]!'TSLA;LastTick'="D",0,2)</f>
        <v>2</v>
      </c>
      <c r="H8" s="5">
        <f>[3]!'TSLA;VWAP'</f>
        <v>328.34356600000001</v>
      </c>
      <c r="I8" s="5">
        <f>[3]!'TSLA;BP'</f>
        <v>329.53</v>
      </c>
      <c r="J8" s="5">
        <f>[3]!'TSLA;AP'</f>
        <v>329.7</v>
      </c>
      <c r="K8" s="5">
        <f>[3]!'TSLA;CP'</f>
        <v>329.92</v>
      </c>
      <c r="L8" s="5">
        <f>[3]!'TSLA;OP'</f>
        <v>329</v>
      </c>
      <c r="M8" s="7" t="str">
        <f>[3]!'TSLA;PE'</f>
        <v>N/A</v>
      </c>
      <c r="N8" s="5">
        <f>[3]!'TSLA;VOL'</f>
        <v>24406</v>
      </c>
    </row>
    <row r="9" spans="1:14" ht="18" customHeight="1" x14ac:dyDescent="0.25">
      <c r="A9" s="3"/>
      <c r="B9" s="7" t="s">
        <v>19</v>
      </c>
      <c r="C9" s="11" t="str">
        <f>[3]!'SHAK;SD'</f>
        <v>SHAKE SHACK INC. CMN CLASS A</v>
      </c>
      <c r="D9" s="11">
        <f>[3]!'SHAK;LP'</f>
        <v>35.04</v>
      </c>
      <c r="E9" s="11">
        <f>[3]!'SHAK;NC'</f>
        <v>0.02</v>
      </c>
      <c r="F9" s="12">
        <f>[3]!'SHAK;PC'</f>
        <v>5.9999999999999995E-4</v>
      </c>
      <c r="G9" s="14">
        <f>IF([3]!'SHAK;LastTick'="D",0,2)</f>
        <v>2</v>
      </c>
      <c r="H9" s="11">
        <f>[3]!'SHAK;VWAP'</f>
        <v>35.067999</v>
      </c>
      <c r="I9" s="11">
        <f>[3]!'SHAK;BP'</f>
        <v>35.020000000000003</v>
      </c>
      <c r="J9" s="11">
        <f>[3]!'SHAK;AP'</f>
        <v>35.04</v>
      </c>
      <c r="K9" s="11">
        <f>[3]!'SHAK;CP'</f>
        <v>35.020000000000003</v>
      </c>
      <c r="L9" s="11">
        <f>[3]!'SHAK;OP'</f>
        <v>35.15</v>
      </c>
      <c r="M9" s="11">
        <f>[3]!'SHAK;PE'</f>
        <v>62.57</v>
      </c>
      <c r="N9" s="11">
        <f>[3]!'SHAK;VOL'</f>
        <v>1113</v>
      </c>
    </row>
    <row r="10" spans="1:14" ht="18" customHeight="1" x14ac:dyDescent="0.25">
      <c r="B10" s="7" t="s">
        <v>20</v>
      </c>
      <c r="C10" s="11" t="str">
        <f>[3]!'MSFT;SD'</f>
        <v>MICROSOFT CORPORATION CMN</v>
      </c>
      <c r="D10" s="11">
        <f>[3]!'MSFT;LP'</f>
        <v>73.83</v>
      </c>
      <c r="E10" s="11">
        <f>[3]!'MSFT;NC'</f>
        <v>-0.39</v>
      </c>
      <c r="F10" s="12">
        <f>[3]!'MSFT;PC'</f>
        <v>-5.3E-3</v>
      </c>
      <c r="G10" s="14">
        <f>IF([3]!'MSFT;LastTick'="D",0,2)</f>
        <v>2</v>
      </c>
      <c r="H10" s="11">
        <f>[3]!'MSFT;VWAP'</f>
        <v>73.782120000000006</v>
      </c>
      <c r="I10" s="11">
        <f>[3]!'MSFT;BP'</f>
        <v>73.819999999999993</v>
      </c>
      <c r="J10" s="11">
        <f>[3]!'MSFT;AP'</f>
        <v>73.83</v>
      </c>
      <c r="K10" s="11">
        <f>[3]!'MSFT;CP'</f>
        <v>74.22</v>
      </c>
      <c r="L10" s="11">
        <f>[3]!'MSFT;OP'</f>
        <v>73.48</v>
      </c>
      <c r="M10" s="11">
        <f>[3]!'MSFT;PE'</f>
        <v>32.24</v>
      </c>
      <c r="N10" s="11">
        <f>[3]!'MSFT;VOL'</f>
        <v>266170</v>
      </c>
    </row>
    <row r="11" spans="1:14" ht="18" customHeight="1" x14ac:dyDescent="0.25">
      <c r="B11" s="7" t="s">
        <v>21</v>
      </c>
      <c r="C11" s="11" t="str">
        <f>[3]!'APRN;SD'</f>
        <v>BLUE APRON HOLDINGS, INC. CMN CLASS A</v>
      </c>
      <c r="D11" s="11">
        <f>[3]!'APRN;LP'</f>
        <v>6.5979000000000001</v>
      </c>
      <c r="E11" s="11">
        <f>[3]!'APRN;NC'</f>
        <v>7.7899999999999997E-2</v>
      </c>
      <c r="F11" s="12">
        <f>[3]!'APRN;PC'</f>
        <v>1.1900000000000001E-2</v>
      </c>
      <c r="G11" s="14">
        <f>IF([3]!'APRN;LastTick'="D",0,2)</f>
        <v>2</v>
      </c>
      <c r="H11" s="11">
        <f>[3]!'APRN;VWAP'</f>
        <v>6.5033770000000004</v>
      </c>
      <c r="I11" s="11">
        <f>[3]!'APRN;BP'</f>
        <v>6.58</v>
      </c>
      <c r="J11" s="11">
        <f>[3]!'APRN;AP'</f>
        <v>6.6</v>
      </c>
      <c r="K11" s="11">
        <f>[3]!'APRN;CP'</f>
        <v>6.52</v>
      </c>
      <c r="L11" s="11">
        <f>[3]!'APRN;OP'</f>
        <v>6.48</v>
      </c>
      <c r="M11" s="11" t="str">
        <f>[3]!'APRN;PE'</f>
        <v>N/A</v>
      </c>
      <c r="N11" s="11">
        <f>[3]!'APRN;VOL'</f>
        <v>3994</v>
      </c>
    </row>
    <row r="12" spans="1:14" ht="18" customHeight="1" x14ac:dyDescent="0.25">
      <c r="B12" s="4" t="s">
        <v>22</v>
      </c>
      <c r="C12" s="5" t="str">
        <f>[3]!'BABA;SD'</f>
        <v>ALIBABA GROUP HOLDING LIMITED SPONSORED ADR CMN</v>
      </c>
      <c r="D12" s="5">
        <f>[3]!'BABA;LP'</f>
        <v>151.125</v>
      </c>
      <c r="E12" s="5">
        <f>[3]!'BABA;NC'</f>
        <v>-0.98499999999999999</v>
      </c>
      <c r="F12" s="10">
        <f>[3]!'BABA;PC'</f>
        <v>-6.4999999999999997E-3</v>
      </c>
      <c r="G12" s="15">
        <f>IF([3]!'BABA;LastTick'="D",0,2)</f>
        <v>2</v>
      </c>
      <c r="H12" s="5">
        <f>[3]!'BABA;VWAP'</f>
        <v>150.86252500000001</v>
      </c>
      <c r="I12" s="5">
        <f>[3]!'BABA;BP'</f>
        <v>151.11000000000001</v>
      </c>
      <c r="J12" s="5">
        <f>[3]!'BABA;AP'</f>
        <v>151.13999999999999</v>
      </c>
      <c r="K12" s="5">
        <f>[3]!'BABA;CP'</f>
        <v>152.11000000000001</v>
      </c>
      <c r="L12" s="5">
        <f>[3]!'BABA;OP'</f>
        <v>151.5</v>
      </c>
      <c r="M12" s="5">
        <f>[3]!'BABA;PE'</f>
        <v>59.26</v>
      </c>
      <c r="N12" s="5">
        <f>[3]!'BABA;VOL'</f>
        <v>70131</v>
      </c>
    </row>
    <row r="13" spans="1:14" ht="18" customHeight="1" x14ac:dyDescent="0.25">
      <c r="B13" s="7" t="s">
        <v>23</v>
      </c>
      <c r="C13" s="11" t="str">
        <f>[3]!'ZVZZT;SD'</f>
        <v>TEST</v>
      </c>
      <c r="D13" s="11">
        <f>[3]!'ZVZZT;LP'</f>
        <v>10.02</v>
      </c>
      <c r="E13" s="11">
        <f>[3]!'ZVZZT;NC'</f>
        <v>0.03</v>
      </c>
      <c r="F13" s="12">
        <f>[3]!'ZVZZT;PC'</f>
        <v>3.0000000000000001E-3</v>
      </c>
      <c r="G13" s="14">
        <f>IF([3]!'ZVZZT;LastTick'="D",0,2)</f>
        <v>2</v>
      </c>
      <c r="H13" s="11">
        <f>[3]!'ZVZZT;VWAP'</f>
        <v>10.028293</v>
      </c>
      <c r="I13" s="11">
        <f>[3]!'ZVZZT;BP'</f>
        <v>9.99</v>
      </c>
      <c r="J13" s="11">
        <f>[3]!'ZVZZT;AP'</f>
        <v>10.02</v>
      </c>
      <c r="K13" s="11">
        <f>[3]!'ZVZZT;CP'</f>
        <v>9.99</v>
      </c>
      <c r="L13" s="11">
        <f>[3]!'ZVZZT;OP'</f>
        <v>10.02</v>
      </c>
      <c r="M13" s="11" t="str">
        <f>[3]!'ZVZZT;PE'</f>
        <v>Not Found</v>
      </c>
      <c r="N13" s="11">
        <f>[3]!'ZVZZT;VOL'</f>
        <v>8866</v>
      </c>
    </row>
    <row r="14" spans="1:14" ht="18" customHeight="1" x14ac:dyDescent="0.25">
      <c r="B14" s="4" t="s">
        <v>24</v>
      </c>
      <c r="C14" s="5" t="str">
        <f>[3]!'TRI;SD'</f>
        <v>THOMSON REUTERS CORPORATION</v>
      </c>
      <c r="D14" s="5">
        <f>[3]!'TRI;LP'</f>
        <v>45.77</v>
      </c>
      <c r="E14" s="5">
        <f>[3]!'TRI;NC'</f>
        <v>-0.11</v>
      </c>
      <c r="F14" s="10">
        <f>[3]!'TRI;PC'</f>
        <v>-2.3999999999999998E-3</v>
      </c>
      <c r="G14" s="15">
        <f>IF([3]!'TRI;LastTick'="D",0,2)</f>
        <v>2</v>
      </c>
      <c r="H14" s="5">
        <f>[3]!'TRI;VWAP'</f>
        <v>45.840522</v>
      </c>
      <c r="I14" s="5">
        <f>[3]!'TRI;BP'</f>
        <v>45.76</v>
      </c>
      <c r="J14" s="5">
        <f>[3]!'TRI;AP'</f>
        <v>45.78</v>
      </c>
      <c r="K14" s="5">
        <f>[3]!'TRI;CP'</f>
        <v>45.88</v>
      </c>
      <c r="L14" s="5">
        <f>[3]!'TRI;OP'</f>
        <v>45.89</v>
      </c>
      <c r="M14" s="5" t="str">
        <f>[3]!'TRI;PE'</f>
        <v>Not Found</v>
      </c>
      <c r="N14" s="5">
        <f>[3]!'TRI;VOL'</f>
        <v>3103</v>
      </c>
    </row>
    <row r="15" spans="1:14" ht="18" customHeight="1" x14ac:dyDescent="0.25">
      <c r="B15" s="7" t="s">
        <v>21</v>
      </c>
      <c r="C15" s="11" t="str">
        <f>[3]!'APRN;SD'</f>
        <v>BLUE APRON HOLDINGS, INC. CMN CLASS A</v>
      </c>
      <c r="D15" s="11">
        <f>[3]!'APRN;LP'</f>
        <v>6.5979000000000001</v>
      </c>
      <c r="E15" s="11">
        <f>[3]!'APRN;NC'</f>
        <v>7.7899999999999997E-2</v>
      </c>
      <c r="F15" s="12">
        <f>[3]!'APRN;PC'</f>
        <v>1.1900000000000001E-2</v>
      </c>
      <c r="G15" s="14">
        <f>IF([3]!'APRN;LastTick'="D",0,2)</f>
        <v>2</v>
      </c>
      <c r="H15" s="11">
        <f>[3]!'APRN;VWAP'</f>
        <v>6.5033770000000004</v>
      </c>
      <c r="I15" s="11">
        <f>[3]!'APRN;BP'</f>
        <v>6.58</v>
      </c>
      <c r="J15" s="11">
        <f>[3]!'APRN;AP'</f>
        <v>6.6</v>
      </c>
      <c r="K15" s="11">
        <f>[3]!'APRN;CP'</f>
        <v>6.52</v>
      </c>
      <c r="L15" s="11">
        <f>[3]!'APRN;OP'</f>
        <v>6.48</v>
      </c>
      <c r="M15" s="11" t="str">
        <f>[3]!'APRN;PE'</f>
        <v>N/A</v>
      </c>
      <c r="N15" s="11">
        <f>[3]!'APRN;VOL'</f>
        <v>3994</v>
      </c>
    </row>
    <row r="16" spans="1:14" ht="18" customHeight="1" x14ac:dyDescent="0.25">
      <c r="B16" s="7"/>
      <c r="C16" s="11"/>
      <c r="D16" s="11"/>
      <c r="E16" s="11"/>
      <c r="F16" s="12"/>
      <c r="G16" s="14"/>
      <c r="H16" s="11"/>
      <c r="I16" s="11"/>
      <c r="J16" s="11"/>
      <c r="K16" s="11"/>
      <c r="L16" s="11"/>
      <c r="M16" s="11"/>
      <c r="N16" s="11"/>
    </row>
    <row r="17" spans="2:14" ht="18" customHeight="1" x14ac:dyDescent="0.25">
      <c r="B17" s="7"/>
      <c r="C17" s="11"/>
      <c r="D17" s="11"/>
      <c r="E17" s="11"/>
      <c r="F17" s="12"/>
      <c r="G17" s="14"/>
      <c r="H17" s="11"/>
      <c r="I17" s="11"/>
      <c r="J17" s="11"/>
      <c r="K17" s="11"/>
      <c r="L17" s="11"/>
      <c r="M17" s="11"/>
      <c r="N17" s="11"/>
    </row>
    <row r="18" spans="2:14" ht="18" customHeight="1" x14ac:dyDescent="0.25">
      <c r="B18" s="7"/>
      <c r="H18" s="6"/>
      <c r="I18" s="6"/>
    </row>
    <row r="19" spans="2:14" ht="18" customHeight="1" x14ac:dyDescent="0.25"/>
    <row r="20" spans="2:14" ht="18" customHeight="1" x14ac:dyDescent="0.25">
      <c r="B20" s="7"/>
      <c r="C20" s="11"/>
      <c r="D20" s="11"/>
      <c r="E20" s="11"/>
      <c r="F20" s="12"/>
      <c r="G20" s="14"/>
      <c r="H20" s="11"/>
      <c r="I20" s="11"/>
      <c r="J20" s="11"/>
      <c r="K20" s="11"/>
      <c r="L20" s="11"/>
      <c r="M20" s="11"/>
      <c r="N20" s="11"/>
    </row>
    <row r="21" spans="2:14" ht="18" customHeight="1" x14ac:dyDescent="0.25">
      <c r="M21" s="7"/>
    </row>
    <row r="22" spans="2:14" ht="18" customHeight="1" x14ac:dyDescent="0.25">
      <c r="B22" s="7"/>
      <c r="C22" s="11"/>
      <c r="D22" s="11"/>
      <c r="E22" s="11"/>
      <c r="F22" s="12"/>
      <c r="G22" s="14"/>
      <c r="H22" s="11"/>
      <c r="I22" s="11"/>
      <c r="J22" s="11"/>
      <c r="K22" s="11"/>
      <c r="L22" s="11"/>
      <c r="M22" s="11"/>
      <c r="N22" s="11"/>
    </row>
    <row r="23" spans="2:14" ht="18" customHeight="1" x14ac:dyDescent="0.25">
      <c r="M23" s="7"/>
    </row>
    <row r="24" spans="2:14" ht="18" customHeight="1" x14ac:dyDescent="0.25">
      <c r="M24" s="7"/>
    </row>
    <row r="25" spans="2:14" ht="18" customHeight="1" x14ac:dyDescent="0.25">
      <c r="M25" s="7"/>
    </row>
    <row r="26" spans="2:14" ht="18" customHeight="1" x14ac:dyDescent="0.25">
      <c r="M26" s="7"/>
    </row>
    <row r="27" spans="2:14" ht="18" customHeight="1" x14ac:dyDescent="0.25">
      <c r="M27" s="7"/>
    </row>
    <row r="28" spans="2:14" ht="18" customHeight="1" x14ac:dyDescent="0.25">
      <c r="M28" s="7"/>
    </row>
    <row r="29" spans="2:14" ht="18" customHeight="1" x14ac:dyDescent="0.25">
      <c r="M29" s="7"/>
    </row>
    <row r="30" spans="2:14" ht="18" customHeight="1" x14ac:dyDescent="0.25">
      <c r="M30" s="7"/>
    </row>
    <row r="31" spans="2:14" ht="18" customHeight="1" x14ac:dyDescent="0.25">
      <c r="M31" s="7"/>
    </row>
    <row r="32" spans="2:14" ht="18" customHeight="1" x14ac:dyDescent="0.25">
      <c r="M32" s="7"/>
    </row>
    <row r="33" spans="13:13" ht="18" customHeight="1" x14ac:dyDescent="0.25">
      <c r="M33" s="7"/>
    </row>
    <row r="34" spans="13:13" ht="18" customHeight="1" x14ac:dyDescent="0.25">
      <c r="M34" s="4"/>
    </row>
    <row r="35" spans="13:13" ht="18" customHeight="1" x14ac:dyDescent="0.25"/>
    <row r="36" spans="13:13" ht="18" customHeight="1" x14ac:dyDescent="0.25"/>
    <row r="37" spans="13:13" ht="18" customHeight="1" x14ac:dyDescent="0.25"/>
    <row r="38" spans="13:13" ht="18" customHeight="1" x14ac:dyDescent="0.25"/>
    <row r="39" spans="13:13" ht="18" customHeight="1" x14ac:dyDescent="0.25"/>
    <row r="40" spans="13:13" ht="18" customHeight="1" x14ac:dyDescent="0.25"/>
    <row r="41" spans="13:13" ht="18" customHeight="1" x14ac:dyDescent="0.25"/>
    <row r="42" spans="13:13" ht="18" customHeight="1" x14ac:dyDescent="0.25"/>
    <row r="43" spans="13:13" ht="18" customHeight="1" x14ac:dyDescent="0.25"/>
    <row r="44" spans="13:13" ht="18" customHeight="1" x14ac:dyDescent="0.25"/>
    <row r="45" spans="13:13" ht="18" customHeight="1" x14ac:dyDescent="0.25"/>
    <row r="46" spans="13:13" ht="18" customHeight="1" x14ac:dyDescent="0.25"/>
    <row r="47" spans="13:13" ht="18" customHeight="1" x14ac:dyDescent="0.25"/>
    <row r="48" spans="13:13"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sheetData>
  <conditionalFormatting sqref="E3:F502">
    <cfRule type="cellIs" dxfId="1" priority="3" operator="lessThan">
      <formula>0</formula>
    </cfRule>
    <cfRule type="cellIs" dxfId="0" priority="4" operator="greaterThan">
      <formula>0</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5EE2A610-4B42-4C44-85DF-605D7642E39F}">
            <x14:iconSet iconSet="3Triangles" showValue="0" custom="1">
              <x14:cfvo type="percent">
                <xm:f>0</xm:f>
              </x14:cfvo>
              <x14:cfvo type="num">
                <xm:f>1</xm:f>
              </x14:cfvo>
              <x14:cfvo type="num">
                <xm:f>1</xm:f>
              </x14:cfvo>
              <x14:cfIcon iconSet="3Triangles" iconId="0"/>
              <x14:cfIcon iconSet="3Triangles" iconId="0"/>
              <x14:cfIcon iconSet="3Triangles" iconId="2"/>
            </x14:iconSet>
          </x14:cfRule>
          <xm:sqref>G3:G502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pane ySplit="1" topLeftCell="A2" activePane="bottomLeft" state="frozen"/>
      <selection pane="bottomLeft" activeCell="J25" sqref="J25"/>
    </sheetView>
  </sheetViews>
  <sheetFormatPr defaultRowHeight="15" x14ac:dyDescent="0.25"/>
  <cols>
    <col min="1" max="1" width="2.7109375" style="21" customWidth="1"/>
    <col min="2" max="16384" width="9.140625" style="21"/>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L1</vt:lpstr>
      <vt:lpstr>Disclaimer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2017-07-21T15:59:12Z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