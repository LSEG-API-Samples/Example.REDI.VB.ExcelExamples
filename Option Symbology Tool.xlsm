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codeName="ThisWorkbook" defaultThemeVersion="164011"/>
  <mc:AlternateContent xmlns:mc="http://schemas.openxmlformats.org/markup-compatibility/2006">
    <mc:Choice Requires="x15">
      <x15ac:absPath xmlns:x15ac="http://schemas.microsoft.com/office/spreadsheetml/2010/11/ac" url="\\redi.com\dfsroot\personal\parkm\Documents\API\Excel\Final - TR\"/>
    </mc:Choice>
  </mc:AlternateContent>
  <bookViews>
    <workbookView xWindow="0" yWindow="0" windowWidth="17820" windowHeight="8610"/>
  </bookViews>
  <sheets>
    <sheet name="OptionsSymbology" sheetId="1" r:id="rId1"/>
    <sheet name="Disclaimer" sheetId="2" r:id="rId2"/>
  </sheets>
  <functionGroups builtInGroupCount="18"/>
  <externalReferences>
    <externalReference r:id="rId3"/>
  </externalReferenc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9" i="1" l="1"/>
  <c r="C8" i="1"/>
  <c r="C7" i="1"/>
  <c r="C5" i="1" l="1"/>
  <c r="C6" i="1"/>
</calcChain>
</file>

<file path=xl/sharedStrings.xml><?xml version="1.0" encoding="utf-8"?>
<sst xmlns="http://schemas.openxmlformats.org/spreadsheetml/2006/main" count="15" uniqueCount="14">
  <si>
    <t>Compressed OCC</t>
  </si>
  <si>
    <t>OPRA</t>
  </si>
  <si>
    <t>Position</t>
  </si>
  <si>
    <t>Formula</t>
  </si>
  <si>
    <t>Value</t>
  </si>
  <si>
    <t>N/A</t>
  </si>
  <si>
    <r>
      <rPr>
        <sz val="9"/>
        <color rgb="FFFF0000"/>
        <rFont val="Consolas"/>
        <family val="3"/>
      </rPr>
      <t>EncodeOpraToCompressedOCC</t>
    </r>
    <r>
      <rPr>
        <sz val="9"/>
        <color theme="1"/>
        <rFont val="Consolas"/>
        <family val="3"/>
      </rPr>
      <t>(B2)</t>
    </r>
  </si>
  <si>
    <t>PnL</t>
  </si>
  <si>
    <t>REDI Display Symbol</t>
  </si>
  <si>
    <r>
      <rPr>
        <sz val="9"/>
        <color rgb="FFFF0000"/>
        <rFont val="Consolas"/>
        <family val="3"/>
      </rPr>
      <t>DispSymToOpra</t>
    </r>
    <r>
      <rPr>
        <sz val="9"/>
        <color theme="1"/>
        <rFont val="Consolas"/>
        <family val="3"/>
      </rPr>
      <t>(B2)</t>
    </r>
  </si>
  <si>
    <t>AAPL Jul 21 '17 148 Call</t>
  </si>
  <si>
    <r>
      <t>RediLink|POS!'8AV05001;</t>
    </r>
    <r>
      <rPr>
        <sz val="9"/>
        <color rgb="FFFF0000"/>
        <rFont val="Consolas"/>
        <family val="3"/>
      </rPr>
      <t>AAPL  H7L[00cV6</t>
    </r>
    <r>
      <rPr>
        <sz val="9"/>
        <color theme="1"/>
        <rFont val="Consolas"/>
        <family val="3"/>
      </rPr>
      <t>;POS'</t>
    </r>
  </si>
  <si>
    <r>
      <t>RediLink|POS!'8AV05001;</t>
    </r>
    <r>
      <rPr>
        <sz val="9"/>
        <color rgb="FFFF0000"/>
        <rFont val="Consolas"/>
        <family val="3"/>
      </rPr>
      <t>AAPL  H7L[00cV6</t>
    </r>
    <r>
      <rPr>
        <sz val="9"/>
        <color theme="1"/>
        <rFont val="Consolas"/>
        <family val="3"/>
      </rPr>
      <t>;VAL'</t>
    </r>
  </si>
  <si>
    <r>
      <t>RediLink|POS!'8AV05001;</t>
    </r>
    <r>
      <rPr>
        <sz val="9"/>
        <color rgb="FFFF0000"/>
        <rFont val="Consolas"/>
        <family val="3"/>
      </rPr>
      <t>AAPL  H7L[00cV6</t>
    </r>
    <r>
      <rPr>
        <sz val="9"/>
        <color theme="1"/>
        <rFont val="Consolas"/>
        <family val="3"/>
      </rPr>
      <t>;PandL'</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</si>
</sst>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b/>
      <sz val="11"/>
      <color theme="1"/>
      <name val="Calibri"/>
      <family val="2"/>
      <scheme val="minor"/>
    </font>
    <font>
      <sz val="9"/>
      <color theme="1"/>
      <name val="Consolas"/>
      <family val="3"/>
    </font>
    <font>
      <sz val="9"/>
      <color theme="1"/>
      <name val="Calibri"/>
      <family val="2"/>
      <scheme val="minor"/>
    </font>
    <font>
      <sz val="9"/>
      <color rgb="FFFF0000"/>
      <name val="Consolas"/>
      <family val="3"/>
    </font>
    <font>
      <b/>
      <sz val="11"/>
      <color theme="0"/>
      <name val="Calibri"/>
      <family val="2"/>
      <scheme val="minor"/>
    </font>
  </fonts>
  <fills count="5">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1" tint="0.49998474074526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theme="0"/>
      </bottom>
      <diagonal/>
    </border>
    <border>
      <left style="thin">
        <color indexed="64"/>
      </left>
      <right style="thin">
        <color indexed="64"/>
      </right>
      <top/>
      <bottom style="thin">
        <color indexed="64"/>
      </bottom>
      <diagonal/>
    </border>
    <border>
      <left style="thin">
        <color indexed="64"/>
      </left>
      <right style="thin">
        <color indexed="64"/>
      </right>
      <top style="thin">
        <color theme="0"/>
      </top>
      <bottom style="thin">
        <color theme="0"/>
      </bottom>
      <diagonal/>
    </border>
    <border>
      <left style="thin">
        <color indexed="64"/>
      </left>
      <right style="thin">
        <color theme="0"/>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s>
  <cellStyleXfs count="1">
    <xf numFmtId="0" fontId="0" fillId="0" borderId="0"/>
  </cellStyleXfs>
  <cellXfs count="13">
    <xf numFmtId="0" fontId="0" fillId="0" borderId="0" xfId="0"/>
    <xf numFmtId="0" fontId="0" fillId="3" borderId="0" xfId="0" applyFill="1" applyAlignment="1">
      <alignment vertical="center"/>
    </xf>
    <xf numFmtId="0" fontId="3" fillId="2" borderId="1" xfId="0" applyFont="1" applyFill="1" applyBorder="1" applyAlignment="1">
      <alignment vertical="center"/>
    </xf>
    <xf numFmtId="0" fontId="3" fillId="2" borderId="1" xfId="0" applyFont="1" applyFill="1" applyBorder="1" applyAlignment="1">
      <alignment horizontal="left" vertical="center"/>
    </xf>
    <xf numFmtId="0" fontId="2" fillId="2" borderId="1" xfId="0" applyFont="1" applyFill="1" applyBorder="1" applyAlignment="1">
      <alignment vertical="center"/>
    </xf>
    <xf numFmtId="0" fontId="5" fillId="4" borderId="3" xfId="0" applyFont="1" applyFill="1" applyBorder="1" applyAlignment="1">
      <alignment vertical="center"/>
    </xf>
    <xf numFmtId="0" fontId="5" fillId="4" borderId="2" xfId="0" applyFont="1" applyFill="1" applyBorder="1" applyAlignment="1">
      <alignment horizontal="left" vertical="center"/>
    </xf>
    <xf numFmtId="0" fontId="5" fillId="4" borderId="4" xfId="0" applyFont="1" applyFill="1" applyBorder="1" applyAlignment="1">
      <alignment vertical="center"/>
    </xf>
    <xf numFmtId="0" fontId="5" fillId="4" borderId="6" xfId="0" applyFont="1" applyFill="1" applyBorder="1" applyAlignment="1">
      <alignment horizontal="center" vertical="center"/>
    </xf>
    <xf numFmtId="0" fontId="5" fillId="4" borderId="5" xfId="0" applyFont="1" applyFill="1" applyBorder="1" applyAlignment="1">
      <alignment horizontal="center" vertical="center"/>
    </xf>
    <xf numFmtId="0" fontId="0" fillId="3" borderId="0" xfId="0" applyFill="1" applyBorder="1" applyAlignment="1">
      <alignment vertical="center"/>
    </xf>
    <xf numFmtId="0" fontId="1" fillId="3" borderId="7" xfId="0" applyFont="1" applyFill="1" applyBorder="1" applyAlignment="1">
      <alignment horizontal="center" vertical="center"/>
    </xf>
    <xf numFmtId="0" fontId="0" fillId="3"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2</xdr:col>
      <xdr:colOff>952500</xdr:colOff>
      <xdr:row>0</xdr:row>
      <xdr:rowOff>85725</xdr:rowOff>
    </xdr:from>
    <xdr:ext cx="2518638" cy="374141"/>
    <xdr:sp macro="" textlink="">
      <xdr:nvSpPr>
        <xdr:cNvPr id="2" name="TextBox 1"/>
        <xdr:cNvSpPr txBox="1"/>
      </xdr:nvSpPr>
      <xdr:spPr>
        <a:xfrm>
          <a:off x="2352675" y="85725"/>
          <a:ext cx="2518638"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6600"/>
              </a:solidFill>
            </a:rPr>
            <a:t>Options Symbology Tool</a:t>
          </a:r>
          <a:endParaRPr lang="en-US" sz="1800" b="0">
            <a:solidFill>
              <a:schemeClr val="tx1">
                <a:lumMod val="50000"/>
                <a:lumOff val="50000"/>
              </a:schemeClr>
            </a:solidFill>
          </a:endParaRPr>
        </a:p>
      </xdr:txBody>
    </xdr:sp>
    <xdr:clientData/>
  </xdr:oneCellAnchor>
  <xdr:twoCellAnchor editAs="oneCell">
    <xdr:from>
      <xdr:col>1</xdr:col>
      <xdr:colOff>0</xdr:colOff>
      <xdr:row>0</xdr:row>
      <xdr:rowOff>95252</xdr:rowOff>
    </xdr:from>
    <xdr:to>
      <xdr:col>2</xdr:col>
      <xdr:colOff>904875</xdr:colOff>
      <xdr:row>0</xdr:row>
      <xdr:rowOff>476252</xdr:rowOff>
    </xdr:to>
    <xdr:pic>
      <xdr:nvPicPr>
        <xdr:cNvPr id="3" name="Picture 2"/>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80975" y="95252"/>
          <a:ext cx="2190750" cy="381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3</xdr:col>
      <xdr:colOff>485775</xdr:colOff>
      <xdr:row>0</xdr:row>
      <xdr:rowOff>85725</xdr:rowOff>
    </xdr:from>
    <xdr:ext cx="3105150" cy="374141"/>
    <xdr:sp macro="" textlink="">
      <xdr:nvSpPr>
        <xdr:cNvPr id="2" name="TextBox 1"/>
        <xdr:cNvSpPr txBox="1"/>
      </xdr:nvSpPr>
      <xdr:spPr>
        <a:xfrm>
          <a:off x="2333625" y="85725"/>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Disclaimer</a:t>
          </a:r>
        </a:p>
      </xdr:txBody>
    </xdr:sp>
    <xdr:clientData/>
  </xdr:oneCellAnchor>
  <xdr:twoCellAnchor editAs="oneCell">
    <xdr:from>
      <xdr:col>0</xdr:col>
      <xdr:colOff>66675</xdr:colOff>
      <xdr:row>0</xdr:row>
      <xdr:rowOff>95250</xdr:rowOff>
    </xdr:from>
    <xdr:to>
      <xdr:col>3</xdr:col>
      <xdr:colOff>409575</xdr:colOff>
      <xdr:row>0</xdr:row>
      <xdr:rowOff>476250</xdr:rowOff>
    </xdr:to>
    <xdr:pic>
      <xdr:nvPicPr>
        <xdr:cNvPr id="3" name="Picture 2"/>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66675" y="95250"/>
          <a:ext cx="2190750" cy="381000"/>
        </a:xfrm>
        <a:prstGeom prst="rect">
          <a:avLst/>
        </a:prstGeom>
      </xdr:spPr>
    </xdr:pic>
    <xdr:clientData/>
  </xdr:twoCellAnchor>
  <xdr:oneCellAnchor>
    <xdr:from>
      <xdr:col>0</xdr:col>
      <xdr:colOff>76200</xdr:colOff>
      <xdr:row>1</xdr:row>
      <xdr:rowOff>114301</xdr:rowOff>
    </xdr:from>
    <xdr:ext cx="8124825" cy="2781300"/>
    <xdr:sp macro="" textlink="">
      <xdr:nvSpPr>
        <xdr:cNvPr id="4" name="TextBox 3"/>
        <xdr:cNvSpPr txBox="1"/>
      </xdr:nvSpPr>
      <xdr:spPr>
        <a:xfrm>
          <a:off x="76200" y="685801"/>
          <a:ext cx="8124825" cy="2781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b="0" i="1">
              <a:solidFill>
                <a:schemeClr val="tx1">
                  <a:lumMod val="50000"/>
                  <a:lumOff val="50000"/>
                </a:schemeClr>
              </a:solidFill>
              <a:effectLst/>
              <a:latin typeface="+mn-lt"/>
              <a:ea typeface="+mn-ea"/>
              <a:cs typeface="+mn-cs"/>
            </a:rPr>
            <a:t>REDI Global Technologies LLC (member FINRA), REDI Technologies Limited (FCA #612490) and their affiliates (collectively, “REDI”) may make available application programming interface (“API”) specifications, including sample code, for use solely in connection with a  user’s internal non-commercial development purposes, in accordance with a user’s agreement with REDI and this REDI API Specification document.  No right, title or interest is granted in or to the API specifications and user agrees at all times to treat these materials in a confidential and secure manner.  By utilizing API specifications provided by REDI, the user of the API specifications understands that use of such specifications may affect live trading</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The user of the API specifications assumes all responsibility for any action, or lack thereof, taken in a live trading environment including but not limited to execution of orders, cancellation of orders, modification of orders, analysis of market data, or the calculation of any position, order, complex order, or spread.   The API specifications are provided on an “as is” basis and without warranty of any kind.  REDI specifically disclaims all warranties for use of API specifications, express or implied, including implied warranties of merchantability, fitness for a particular purpose, title, infringement, and operation of the API specifications with the REDIPlus System.  REDI does not warrant that use of the API specifications will be uninterrupted, error-free, timely, complete, accurate or that defects in the foregoing can or will be corrected.  REDI does not make any warranties as to the results to be obtained from use of the API specifications and use of the API specifications and any reliance thereon is at the user’s sole risk.  No oral or written information or advice given by REDI shall create any warranties or in any way increase the scope of REDI’s obligations.  This document has been prepared for informational purposes only.  Except as otherwise expressly permitted herein, the modification, reformatting, copying, downloading, storing, reproduction, or retransmission of API specifications is prohibited.  All materials and services provided to you by REDI are governed by the terms of any applicable agreements with REDI.</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IN NO EVENT WILL REDI OR ITS THIRD PARTY PROVIDERS BE LIABLE FOR ANY DAMAGES, INCLUDING WITHOUT LIMITATION DIRECT OR INDIRECT, SPECIAL, INCIDENTAL, OR CONSEQUENTIAL DAMAGES, LOSSES OR EXPENSES ARISING IN CONNECTION WITH </a:t>
          </a:r>
          <a:r>
            <a:rPr lang="en-US" sz="1000" b="0" i="1" cap="all">
              <a:solidFill>
                <a:schemeClr val="tx1">
                  <a:lumMod val="50000"/>
                  <a:lumOff val="50000"/>
                </a:schemeClr>
              </a:solidFill>
              <a:effectLst/>
              <a:latin typeface="+mn-lt"/>
              <a:ea typeface="+mn-ea"/>
              <a:cs typeface="+mn-cs"/>
            </a:rPr>
            <a:t>API SPECICATIONS</a:t>
          </a:r>
          <a:r>
            <a:rPr lang="en-US" sz="1000" b="0" i="1">
              <a:solidFill>
                <a:schemeClr val="tx1">
                  <a:lumMod val="50000"/>
                  <a:lumOff val="50000"/>
                </a:schemeClr>
              </a:solidFill>
              <a:effectLst/>
              <a:latin typeface="+mn-lt"/>
              <a:ea typeface="+mn-ea"/>
              <a:cs typeface="+mn-cs"/>
            </a:rPr>
            <a:t>.</a:t>
          </a:r>
          <a:endParaRPr lang="en-US" sz="1000">
            <a:solidFill>
              <a:schemeClr val="tx1">
                <a:lumMod val="50000"/>
                <a:lumOff val="50000"/>
              </a:schemeClr>
            </a:solidFill>
          </a:endParaRPr>
        </a:p>
      </xdr:txBody>
    </xdr:sp>
    <xdr:clientData/>
  </xdr:oneCellAnchor>
</xdr:wsDr>
</file>

<file path=xl/externalLinks/externalLink1.xml><?xml version="1.0" encoding="utf-8"?>
<externalLink xmlns="http://schemas.openxmlformats.org/spreadsheetml/2006/main" xmlns:mc="http://schemas.openxmlformats.org/markup-compatibility/2006" xmlns:x14="http://schemas.microsoft.com/office/spreadsheetml/2009/9/main" mc:Ignorable="x14">
  <ddeLink xmlns:r="http://schemas.openxmlformats.org/officeDocument/2006/relationships" ddeService="RediLink" ddeTopic="POS">
    <ddeItems>
      <ddeItem name="StdDocumentName" ole="1" advise="1"/>
      <ddeItem name="TESTER1;AAPL  H7L[00cV6;PandL" advise="1"/>
      <ddeItem name="TESTER1;AAPL  H7L[00cV6;POS" advise="1"/>
      <ddeItem name="TESTER1;AAPL  H7L[00cV6;VAL" advise="1"/>
    </ddeItems>
  </ddeLin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20"/>
  <sheetViews>
    <sheetView tabSelected="1" workbookViewId="0">
      <pane ySplit="1" topLeftCell="A2" activePane="bottomLeft" state="frozen"/>
      <selection pane="bottomLeft" activeCell="E6" sqref="E6"/>
    </sheetView>
  </sheetViews>
  <sheetFormatPr defaultRowHeight="15" x14ac:dyDescent="0.25"/>
  <cols>
    <col min="1" max="1" width="1.7109375" style="1" customWidth="1"/>
    <col min="2" max="2" width="19.28515625" style="1" customWidth="1"/>
    <col min="3" max="3" width="20" style="1" customWidth="1"/>
    <col min="4" max="4" width="46.7109375" style="1" customWidth="1"/>
    <col min="5" max="5" width="24.42578125" style="1" customWidth="1"/>
    <col min="6" max="16384" width="9.140625" style="1"/>
  </cols>
  <sheetData>
    <row r="1" spans="1:4" ht="45" customHeight="1" x14ac:dyDescent="0.25"/>
    <row r="2" spans="1:4" x14ac:dyDescent="0.25">
      <c r="B2" s="10"/>
    </row>
    <row r="3" spans="1:4" ht="20.100000000000001" customHeight="1" x14ac:dyDescent="0.25">
      <c r="A3" s="10"/>
      <c r="B3" s="11"/>
      <c r="C3" s="9" t="s">
        <v>4</v>
      </c>
      <c r="D3" s="8" t="s">
        <v>3</v>
      </c>
    </row>
    <row r="4" spans="1:4" ht="20.100000000000001" customHeight="1" x14ac:dyDescent="0.25">
      <c r="B4" s="6" t="s">
        <v>8</v>
      </c>
      <c r="C4" s="3" t="s">
        <v>10</v>
      </c>
      <c r="D4" s="3" t="s">
        <v>5</v>
      </c>
    </row>
    <row r="5" spans="1:4" ht="20.100000000000001" customHeight="1" x14ac:dyDescent="0.25">
      <c r="B5" s="7" t="s">
        <v>1</v>
      </c>
      <c r="C5" s="2" t="str">
        <f>DispSymToOpra(C4)</f>
        <v>AAPL  170721C00148000</v>
      </c>
      <c r="D5" s="4" t="s">
        <v>9</v>
      </c>
    </row>
    <row r="6" spans="1:4" ht="20.100000000000001" customHeight="1" x14ac:dyDescent="0.25">
      <c r="B6" s="7" t="s">
        <v>0</v>
      </c>
      <c r="C6" s="2" t="str">
        <f>EncodeOpraToCompressedOCC(C5)</f>
        <v>AAPL  H7L[00cV6</v>
      </c>
      <c r="D6" s="4" t="s">
        <v>6</v>
      </c>
    </row>
    <row r="7" spans="1:4" ht="20.100000000000001" customHeight="1" x14ac:dyDescent="0.25">
      <c r="B7" s="7" t="s">
        <v>2</v>
      </c>
      <c r="C7" s="2" t="e">
        <f>[1]!'TESTER1;AAPL  H7L[00cV6;POS'</f>
        <v>#N/A</v>
      </c>
      <c r="D7" s="4" t="s">
        <v>11</v>
      </c>
    </row>
    <row r="8" spans="1:4" ht="20.100000000000001" customHeight="1" x14ac:dyDescent="0.25">
      <c r="B8" s="7" t="s">
        <v>4</v>
      </c>
      <c r="C8" s="2" t="e">
        <f>[1]!'TESTER1;AAPL  H7L[00cV6;VAL'</f>
        <v>#N/A</v>
      </c>
      <c r="D8" s="4" t="s">
        <v>12</v>
      </c>
    </row>
    <row r="9" spans="1:4" ht="20.100000000000001" customHeight="1" x14ac:dyDescent="0.25">
      <c r="B9" s="5" t="s">
        <v>7</v>
      </c>
      <c r="C9" s="2" t="e">
        <f>[1]!'TESTER1;AAPL  H7L[00cV6;PandL'</f>
        <v>#N/A</v>
      </c>
      <c r="D9" s="4" t="s">
        <v>13</v>
      </c>
    </row>
    <row r="10" spans="1:4" ht="20.100000000000001" customHeight="1" x14ac:dyDescent="0.25"/>
    <row r="11" spans="1:4" ht="20.100000000000001" customHeight="1" x14ac:dyDescent="0.25"/>
    <row r="12" spans="1:4" ht="20.100000000000001" customHeight="1" x14ac:dyDescent="0.25"/>
    <row r="13" spans="1:4" ht="20.100000000000001" customHeight="1" x14ac:dyDescent="0.25"/>
    <row r="14" spans="1:4" ht="20.100000000000001" customHeight="1" x14ac:dyDescent="0.25"/>
    <row r="15" spans="1:4" ht="20.100000000000001" customHeight="1" x14ac:dyDescent="0.25"/>
    <row r="16" spans="1:4"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pane ySplit="1" topLeftCell="A2" activePane="bottomLeft" state="frozen"/>
      <selection pane="bottomLeft" activeCell="P11" sqref="P11"/>
    </sheetView>
  </sheetViews>
  <sheetFormatPr defaultRowHeight="15" x14ac:dyDescent="0.25"/>
  <cols>
    <col min="1" max="1" width="9.140625" style="12"/>
    <col min="2" max="2" width="9.42578125" style="12" customWidth="1"/>
    <col min="3" max="16384" width="9.140625" style="12"/>
  </cols>
  <sheetData>
    <row r="1" ht="45" customHeight="1"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OptionsSymbology</vt:lpstr>
      <vt:lpstr>Disclaimer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 Park</dc:creator>
  <cp:lastModifiedBy>Min Park</cp:lastModifiedBy>
  <dcterms:created xsi:type="dcterms:W3CDTF">2016-08-01T18:55:43Z</dcterms:created>
  <dcterms:modified xsi:type="dcterms:W3CDTF">2017-07-21T16:05:37Z</dcterms:modified>
</cp:coreProperties>
</file>