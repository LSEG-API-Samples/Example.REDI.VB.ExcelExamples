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64011"/>
  <mc:AlternateContent xmlns:mc="http://schemas.openxmlformats.org/markup-compatibility/2006">
    <mc:Choice Requires="x15">
      <x15ac:absPath xmlns:x15ac="http://schemas.microsoft.com/office/spreadsheetml/2010/11/ac" url="\\redi.com\dfsroot\personal\parkm\Documents\API\Excel\Final\"/>
    </mc:Choice>
  </mc:AlternateContent>
  <bookViews>
    <workbookView xWindow="0" yWindow="0" windowWidth="17820" windowHeight="8610"/>
  </bookViews>
  <sheets>
    <sheet name="BracketOrder" sheetId="1" r:id="rId1"/>
    <sheet name="REDISettings" sheetId="2" r:id="rId2"/>
    <sheet name="Disclaimer" sheetId="3" r:id="rId3"/>
  </sheets>
  <externalReferences>
    <externalReference r:id="rId4"/>
  </externalReferences>
  <definedNames>
    <definedName name="_xlnm._FilterDatabase" localSheetId="0" hidden="1">BracketOrder!$C$3</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9" i="1" l="1"/>
  <c r="R8" i="1"/>
  <c r="R7" i="1"/>
  <c r="M5" i="1"/>
  <c r="N4" i="1"/>
  <c r="N3" i="1"/>
  <c r="N2" i="1"/>
  <c r="S4" i="1" l="1"/>
  <c r="S3" i="1"/>
  <c r="R4" i="1"/>
  <c r="R3" i="1"/>
  <c r="H8" i="1" l="1"/>
  <c r="C8" i="1"/>
</calcChain>
</file>

<file path=xl/sharedStrings.xml><?xml version="1.0" encoding="utf-8"?>
<sst xmlns="http://schemas.openxmlformats.org/spreadsheetml/2006/main" count="44" uniqueCount="37">
  <si>
    <t>Side</t>
  </si>
  <si>
    <t>Buy</t>
  </si>
  <si>
    <t>Sell Short</t>
  </si>
  <si>
    <t>Profit Target</t>
  </si>
  <si>
    <t>Stop Loss</t>
  </si>
  <si>
    <t>Fill %</t>
  </si>
  <si>
    <t>Type</t>
  </si>
  <si>
    <t>Status</t>
  </si>
  <si>
    <t>Target Profit</t>
  </si>
  <si>
    <t>Pre Trade</t>
  </si>
  <si>
    <t>Post Trade</t>
  </si>
  <si>
    <t>Projected Loss</t>
  </si>
  <si>
    <t>Last Price</t>
  </si>
  <si>
    <t>Bid Price</t>
  </si>
  <si>
    <t>Ask Price</t>
  </si>
  <si>
    <t>Base Order</t>
  </si>
  <si>
    <t>└ Stop Loss Order</t>
  </si>
  <si>
    <t>TIF</t>
  </si>
  <si>
    <t>Day</t>
  </si>
  <si>
    <t>Exchange</t>
  </si>
  <si>
    <t>BETA DMA</t>
  </si>
  <si>
    <r>
      <t xml:space="preserve">* </t>
    </r>
    <r>
      <rPr>
        <sz val="8"/>
        <color theme="0"/>
        <rFont val="Calibri"/>
        <family val="2"/>
        <scheme val="minor"/>
      </rPr>
      <t>Required field</t>
    </r>
  </si>
  <si>
    <t>F</t>
  </si>
  <si>
    <t>BUY</t>
  </si>
  <si>
    <t>Complete</t>
  </si>
  <si>
    <t>SELL</t>
  </si>
  <si>
    <t>Canceled</t>
  </si>
  <si>
    <t>AvgPx</t>
  </si>
  <si>
    <t>Fill Qty</t>
  </si>
  <si>
    <t>Ord Qty</t>
  </si>
  <si>
    <t>Target Px *</t>
  </si>
  <si>
    <t>Stop Px *</t>
  </si>
  <si>
    <r>
      <t xml:space="preserve">Action </t>
    </r>
    <r>
      <rPr>
        <b/>
        <sz val="9"/>
        <color theme="0"/>
        <rFont val="Calibri"/>
        <family val="2"/>
        <scheme val="minor"/>
      </rPr>
      <t>*</t>
    </r>
  </si>
  <si>
    <t>Symbol *</t>
  </si>
  <si>
    <r>
      <t xml:space="preserve">Quantity </t>
    </r>
    <r>
      <rPr>
        <b/>
        <sz val="9"/>
        <color theme="0"/>
        <rFont val="Calibri"/>
        <family val="2"/>
        <scheme val="minor"/>
      </rPr>
      <t>*</t>
    </r>
  </si>
  <si>
    <r>
      <t xml:space="preserve">Limit Px </t>
    </r>
    <r>
      <rPr>
        <b/>
        <sz val="9"/>
        <color theme="0"/>
        <rFont val="Calibri"/>
        <family val="2"/>
        <scheme val="minor"/>
      </rPr>
      <t>*</t>
    </r>
  </si>
  <si>
    <r>
      <rPr>
        <b/>
        <sz val="10"/>
        <color theme="1"/>
        <rFont val="Calibri"/>
        <family val="2"/>
      </rPr>
      <t xml:space="preserve">└ </t>
    </r>
    <r>
      <rPr>
        <b/>
        <sz val="10"/>
        <color theme="1"/>
        <rFont val="Calibri"/>
        <family val="2"/>
        <scheme val="minor"/>
      </rPr>
      <t>Profit Order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</si>
</sst>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sz val="11"/>
      <color theme="0"/>
      <name val="Calibri"/>
      <family val="2"/>
      <scheme val="minor"/>
    </font>
    <font>
      <sz val="9"/>
      <color theme="1"/>
      <name val="Calibri"/>
      <family val="2"/>
      <scheme val="minor"/>
    </font>
    <font>
      <sz val="8"/>
      <color theme="1"/>
      <name val="Calibri"/>
      <family val="2"/>
      <scheme val="minor"/>
    </font>
    <font>
      <sz val="8"/>
      <color theme="0"/>
      <name val="Calibri"/>
      <family val="2"/>
      <scheme val="minor"/>
    </font>
    <font>
      <sz val="9"/>
      <color theme="0"/>
      <name val="Calibri"/>
      <family val="2"/>
      <scheme val="minor"/>
    </font>
    <font>
      <b/>
      <sz val="9"/>
      <color theme="0"/>
      <name val="Calibri"/>
      <family val="2"/>
      <scheme val="minor"/>
    </font>
    <font>
      <b/>
      <sz val="11"/>
      <color theme="0"/>
      <name val="Calibri"/>
      <family val="2"/>
      <scheme val="minor"/>
    </font>
    <font>
      <b/>
      <sz val="10"/>
      <color theme="0"/>
      <name val="Calibri"/>
      <family val="2"/>
      <scheme val="minor"/>
    </font>
    <font>
      <sz val="8"/>
      <color theme="1" tint="0.499984740745262"/>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b/>
      <sz val="10"/>
      <color theme="1"/>
      <name val="Calibri"/>
      <family val="2"/>
    </font>
  </fonts>
  <fills count="5">
    <fill>
      <patternFill patternType="none"/>
    </fill>
    <fill>
      <patternFill patternType="gray125"/>
    </fill>
    <fill>
      <patternFill patternType="solid">
        <fgColor theme="0"/>
        <bgColor indexed="64"/>
      </patternFill>
    </fill>
    <fill>
      <patternFill patternType="solid">
        <fgColor theme="1" tint="0.499984740745262"/>
        <bgColor indexed="64"/>
      </patternFill>
    </fill>
    <fill>
      <patternFill patternType="solid">
        <fgColor theme="0" tint="-4.9989318521683403E-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1" tint="0.499984740745262"/>
      </left>
      <right style="thin">
        <color theme="1" tint="0.499984740745262"/>
      </right>
      <top style="thin">
        <color theme="0"/>
      </top>
      <bottom/>
      <diagonal/>
    </border>
    <border>
      <left/>
      <right style="thin">
        <color theme="1" tint="0.499984740745262"/>
      </right>
      <top/>
      <bottom style="thin">
        <color theme="0"/>
      </bottom>
      <diagonal/>
    </border>
    <border>
      <left style="thin">
        <color theme="0"/>
      </left>
      <right style="thin">
        <color theme="1" tint="0.499984740745262"/>
      </right>
      <top style="thin">
        <color theme="0"/>
      </top>
      <bottom style="thin">
        <color theme="1" tint="0.499984740745262"/>
      </bottom>
      <diagonal/>
    </border>
    <border>
      <left style="thin">
        <color theme="1" tint="0.499984740745262"/>
      </left>
      <right style="thin">
        <color theme="1" tint="0.499984740745262"/>
      </right>
      <top style="thin">
        <color theme="0"/>
      </top>
      <bottom style="thin">
        <color theme="1" tint="0.499984740745262"/>
      </bottom>
      <diagonal/>
    </border>
    <border>
      <left/>
      <right style="thin">
        <color theme="1" tint="0.499984740745262"/>
      </right>
      <top style="thin">
        <color theme="0"/>
      </top>
      <bottom style="thin">
        <color theme="1" tint="0.499984740745262"/>
      </bottom>
      <diagonal/>
    </border>
    <border>
      <left/>
      <right style="thin">
        <color theme="0"/>
      </right>
      <top style="thin">
        <color theme="0"/>
      </top>
      <bottom style="thin">
        <color theme="1" tint="0.499984740745262"/>
      </bottom>
      <diagonal/>
    </border>
    <border>
      <left style="thin">
        <color theme="0"/>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0"/>
      </right>
      <top style="thin">
        <color theme="1" tint="0.499984740745262"/>
      </top>
      <bottom style="thin">
        <color theme="1" tint="0.499984740745262"/>
      </bottom>
      <diagonal/>
    </border>
    <border>
      <left/>
      <right/>
      <top/>
      <bottom style="medium">
        <color rgb="FF00B0F0"/>
      </bottom>
      <diagonal/>
    </border>
    <border>
      <left style="thin">
        <color theme="0"/>
      </left>
      <right style="medium">
        <color rgb="FF00B0F0"/>
      </right>
      <top/>
      <bottom/>
      <diagonal/>
    </border>
    <border>
      <left style="medium">
        <color rgb="FF00B0F0"/>
      </left>
      <right style="medium">
        <color rgb="FF00B0F0"/>
      </right>
      <top style="medium">
        <color rgb="FF00B0F0"/>
      </top>
      <bottom style="medium">
        <color rgb="FF00B0F0"/>
      </bottom>
      <diagonal/>
    </border>
    <border>
      <left style="thin">
        <color theme="0"/>
      </left>
      <right style="thin">
        <color theme="0"/>
      </right>
      <top/>
      <bottom style="thin">
        <color theme="0"/>
      </bottom>
      <diagonal/>
    </border>
    <border>
      <left style="thin">
        <color theme="0"/>
      </left>
      <right style="thin">
        <color theme="1" tint="0.499984740745262"/>
      </right>
      <top/>
      <bottom style="thin">
        <color indexed="64"/>
      </bottom>
      <diagonal/>
    </border>
    <border>
      <left style="thin">
        <color theme="1" tint="0.499984740745262"/>
      </left>
      <right style="thin">
        <color theme="1" tint="0.499984740745262"/>
      </right>
      <top/>
      <bottom style="thin">
        <color indexed="64"/>
      </bottom>
      <diagonal/>
    </border>
    <border>
      <left/>
      <right style="thin">
        <color theme="1" tint="0.499984740745262"/>
      </right>
      <top/>
      <bottom style="thin">
        <color indexed="64"/>
      </bottom>
      <diagonal/>
    </border>
    <border>
      <left/>
      <right style="thin">
        <color theme="0"/>
      </right>
      <top/>
      <bottom style="thin">
        <color indexed="64"/>
      </bottom>
      <diagonal/>
    </border>
    <border>
      <left style="thin">
        <color theme="0"/>
      </left>
      <right style="thin">
        <color theme="0"/>
      </right>
      <top style="thin">
        <color theme="0"/>
      </top>
      <bottom style="thin">
        <color theme="1" tint="0.499984740745262"/>
      </bottom>
      <diagonal/>
    </border>
    <border>
      <left style="thin">
        <color theme="0"/>
      </left>
      <right style="thin">
        <color theme="0"/>
      </right>
      <top style="thin">
        <color theme="1" tint="0.499984740745262"/>
      </top>
      <bottom style="thin">
        <color theme="1" tint="0.499984740745262"/>
      </bottom>
      <diagonal/>
    </border>
    <border>
      <left/>
      <right/>
      <top style="thin">
        <color indexed="64"/>
      </top>
      <bottom/>
      <diagonal/>
    </border>
  </borders>
  <cellStyleXfs count="1">
    <xf numFmtId="0" fontId="0" fillId="0" borderId="0"/>
  </cellStyleXfs>
  <cellXfs count="75">
    <xf numFmtId="0" fontId="0" fillId="0" borderId="0" xfId="0"/>
    <xf numFmtId="0" fontId="0" fillId="3" borderId="7" xfId="0" applyFill="1" applyBorder="1"/>
    <xf numFmtId="0" fontId="0" fillId="4" borderId="0" xfId="0" applyFill="1"/>
    <xf numFmtId="0" fontId="0" fillId="2" borderId="27" xfId="0" applyFill="1" applyBorder="1"/>
    <xf numFmtId="0" fontId="0" fillId="2" borderId="2" xfId="0" applyFill="1" applyBorder="1"/>
    <xf numFmtId="0" fontId="2" fillId="2" borderId="32" xfId="0" applyFont="1" applyFill="1" applyBorder="1"/>
    <xf numFmtId="0" fontId="2" fillId="2" borderId="33" xfId="0" applyFont="1" applyFill="1" applyBorder="1"/>
    <xf numFmtId="4" fontId="2" fillId="2" borderId="18" xfId="0" applyNumberFormat="1" applyFont="1" applyFill="1" applyBorder="1"/>
    <xf numFmtId="4" fontId="2" fillId="2" borderId="19" xfId="0" applyNumberFormat="1" applyFont="1" applyFill="1" applyBorder="1" applyAlignment="1">
      <alignment horizontal="right" vertical="center"/>
    </xf>
    <xf numFmtId="0" fontId="2" fillId="2" borderId="27" xfId="0" applyFont="1" applyFill="1" applyBorder="1"/>
    <xf numFmtId="4" fontId="2" fillId="2" borderId="15" xfId="0" applyNumberFormat="1" applyFont="1" applyFill="1" applyBorder="1"/>
    <xf numFmtId="4" fontId="2" fillId="2" borderId="10" xfId="0" applyNumberFormat="1" applyFont="1" applyFill="1" applyBorder="1" applyAlignment="1">
      <alignment horizontal="right" vertical="center"/>
    </xf>
    <xf numFmtId="0" fontId="0" fillId="4" borderId="0" xfId="0" applyFill="1" applyBorder="1"/>
    <xf numFmtId="0" fontId="0" fillId="4" borderId="7" xfId="0" applyFill="1" applyBorder="1"/>
    <xf numFmtId="0" fontId="1" fillId="4" borderId="0" xfId="0" applyFont="1" applyFill="1"/>
    <xf numFmtId="0" fontId="8" fillId="3" borderId="2" xfId="0" applyFont="1" applyFill="1" applyBorder="1" applyAlignment="1">
      <alignment horizontal="center" vertical="center"/>
    </xf>
    <xf numFmtId="0" fontId="6" fillId="3" borderId="27" xfId="0" applyFont="1" applyFill="1" applyBorder="1" applyAlignment="1">
      <alignment horizontal="center" vertical="center"/>
    </xf>
    <xf numFmtId="0" fontId="0" fillId="4" borderId="34" xfId="0" applyFill="1" applyBorder="1"/>
    <xf numFmtId="0" fontId="0" fillId="3" borderId="3" xfId="0" applyFill="1" applyBorder="1"/>
    <xf numFmtId="0" fontId="0" fillId="3" borderId="5" xfId="0" applyFill="1" applyBorder="1"/>
    <xf numFmtId="0" fontId="0" fillId="3" borderId="6" xfId="0" applyFill="1" applyBorder="1"/>
    <xf numFmtId="0" fontId="5" fillId="3" borderId="0" xfId="0" applyFont="1" applyFill="1" applyBorder="1" applyAlignment="1">
      <alignment horizontal="left"/>
    </xf>
    <xf numFmtId="0" fontId="0" fillId="3" borderId="25" xfId="0" applyFill="1" applyBorder="1"/>
    <xf numFmtId="0" fontId="0" fillId="3" borderId="8" xfId="0" applyFill="1" applyBorder="1"/>
    <xf numFmtId="0" fontId="0" fillId="3" borderId="9" xfId="0" applyFill="1" applyBorder="1"/>
    <xf numFmtId="0" fontId="3" fillId="3" borderId="9" xfId="0" applyFont="1" applyFill="1" applyBorder="1" applyAlignment="1">
      <alignment vertical="top"/>
    </xf>
    <xf numFmtId="0" fontId="0" fillId="3" borderId="10" xfId="0" applyFill="1" applyBorder="1"/>
    <xf numFmtId="0" fontId="7" fillId="4" borderId="0" xfId="0" applyFont="1" applyFill="1" applyBorder="1"/>
    <xf numFmtId="0" fontId="5" fillId="3" borderId="0" xfId="0" applyFont="1" applyFill="1" applyBorder="1" applyAlignment="1"/>
    <xf numFmtId="0" fontId="5" fillId="3" borderId="7" xfId="0" applyFont="1" applyFill="1" applyBorder="1" applyAlignment="1"/>
    <xf numFmtId="0" fontId="5" fillId="3" borderId="7" xfId="0" applyFont="1" applyFill="1" applyBorder="1" applyAlignment="1">
      <alignment horizontal="left"/>
    </xf>
    <xf numFmtId="0" fontId="5" fillId="3" borderId="24" xfId="0" applyFont="1" applyFill="1" applyBorder="1" applyAlignment="1">
      <alignment horizontal="left"/>
    </xf>
    <xf numFmtId="0" fontId="10" fillId="3" borderId="26" xfId="0" applyFont="1" applyFill="1" applyBorder="1" applyAlignment="1">
      <alignment horizontal="center" vertical="center"/>
    </xf>
    <xf numFmtId="0" fontId="10" fillId="3" borderId="0" xfId="0" applyFont="1" applyFill="1" applyBorder="1" applyAlignment="1">
      <alignment vertical="center"/>
    </xf>
    <xf numFmtId="0" fontId="10" fillId="4" borderId="26" xfId="0" applyFont="1" applyFill="1" applyBorder="1" applyAlignment="1">
      <alignment horizontal="center" vertical="center"/>
    </xf>
    <xf numFmtId="0" fontId="10" fillId="4" borderId="26" xfId="0" applyFont="1" applyFill="1" applyBorder="1" applyAlignment="1">
      <alignment horizontal="right" vertical="center"/>
    </xf>
    <xf numFmtId="4" fontId="10" fillId="4" borderId="26" xfId="0" applyNumberFormat="1" applyFont="1" applyFill="1" applyBorder="1" applyAlignment="1">
      <alignment horizontal="right" vertical="center"/>
    </xf>
    <xf numFmtId="0" fontId="10" fillId="3" borderId="1"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7" xfId="0" applyFont="1" applyFill="1" applyBorder="1" applyAlignment="1">
      <alignment horizontal="left" vertical="center"/>
    </xf>
    <xf numFmtId="0" fontId="11" fillId="3" borderId="13" xfId="0" applyFont="1" applyFill="1" applyBorder="1" applyAlignment="1">
      <alignment horizontal="center" vertical="center"/>
    </xf>
    <xf numFmtId="0" fontId="8" fillId="3" borderId="12" xfId="0" applyFont="1" applyFill="1" applyBorder="1" applyAlignment="1">
      <alignment horizontal="center" vertical="center"/>
    </xf>
    <xf numFmtId="0" fontId="8" fillId="3" borderId="11" xfId="0" applyFont="1" applyFill="1" applyBorder="1" applyAlignment="1">
      <alignment horizontal="center" vertical="center"/>
    </xf>
    <xf numFmtId="0" fontId="8" fillId="3" borderId="13" xfId="0" applyFont="1" applyFill="1" applyBorder="1" applyAlignment="1">
      <alignment horizontal="center" vertical="center"/>
    </xf>
    <xf numFmtId="0" fontId="12" fillId="2" borderId="16" xfId="0" applyFont="1" applyFill="1" applyBorder="1" applyAlignment="1">
      <alignment horizontal="left" vertical="center"/>
    </xf>
    <xf numFmtId="0" fontId="10" fillId="2" borderId="17" xfId="0" applyFont="1" applyFill="1" applyBorder="1" applyAlignment="1">
      <alignment vertical="center"/>
    </xf>
    <xf numFmtId="0" fontId="10" fillId="2" borderId="14" xfId="0" applyFont="1" applyFill="1" applyBorder="1" applyAlignment="1">
      <alignment horizontal="center" vertical="center"/>
    </xf>
    <xf numFmtId="0" fontId="10" fillId="2" borderId="18" xfId="0" applyFont="1" applyFill="1" applyBorder="1" applyAlignment="1">
      <alignment vertical="center"/>
    </xf>
    <xf numFmtId="9" fontId="10" fillId="2" borderId="17" xfId="0" applyNumberFormat="1" applyFont="1" applyFill="1" applyBorder="1" applyAlignment="1">
      <alignment vertical="center"/>
    </xf>
    <xf numFmtId="0" fontId="10" fillId="2" borderId="19" xfId="0" applyFont="1" applyFill="1" applyBorder="1" applyAlignment="1">
      <alignment vertical="center"/>
    </xf>
    <xf numFmtId="2" fontId="12" fillId="2" borderId="20" xfId="0" applyNumberFormat="1" applyFont="1" applyFill="1" applyBorder="1" applyAlignment="1">
      <alignment horizontal="left" vertical="center" indent="1"/>
    </xf>
    <xf numFmtId="0" fontId="10" fillId="2" borderId="21" xfId="0" applyFont="1" applyFill="1" applyBorder="1" applyAlignment="1">
      <alignment vertical="center"/>
    </xf>
    <xf numFmtId="0" fontId="10" fillId="2" borderId="21" xfId="0" applyFont="1" applyFill="1" applyBorder="1" applyAlignment="1">
      <alignment horizontal="center" vertical="center"/>
    </xf>
    <xf numFmtId="0" fontId="10" fillId="2" borderId="22" xfId="0" applyFont="1" applyFill="1" applyBorder="1" applyAlignment="1">
      <alignment vertical="center"/>
    </xf>
    <xf numFmtId="9" fontId="10" fillId="2" borderId="21" xfId="0" applyNumberFormat="1" applyFont="1" applyFill="1" applyBorder="1" applyAlignment="1">
      <alignment vertical="center"/>
    </xf>
    <xf numFmtId="0" fontId="10" fillId="2" borderId="23" xfId="0" applyFont="1" applyFill="1" applyBorder="1" applyAlignment="1">
      <alignment vertical="center"/>
    </xf>
    <xf numFmtId="2" fontId="12" fillId="2" borderId="28" xfId="0" applyNumberFormat="1" applyFont="1" applyFill="1" applyBorder="1" applyAlignment="1">
      <alignment horizontal="left" vertical="center" indent="1"/>
    </xf>
    <xf numFmtId="0" fontId="10" fillId="2" borderId="29" xfId="0" applyFont="1" applyFill="1" applyBorder="1" applyAlignment="1">
      <alignment vertical="center"/>
    </xf>
    <xf numFmtId="0" fontId="10" fillId="2" borderId="29" xfId="0" applyFont="1" applyFill="1" applyBorder="1" applyAlignment="1">
      <alignment horizontal="center" vertical="center"/>
    </xf>
    <xf numFmtId="0" fontId="10" fillId="2" borderId="30" xfId="0" applyFont="1" applyFill="1" applyBorder="1" applyAlignment="1">
      <alignment vertical="center"/>
    </xf>
    <xf numFmtId="9" fontId="10" fillId="2" borderId="29" xfId="0" applyNumberFormat="1" applyFont="1" applyFill="1" applyBorder="1" applyAlignment="1">
      <alignment vertical="center"/>
    </xf>
    <xf numFmtId="0" fontId="10" fillId="2" borderId="31" xfId="0" applyFont="1" applyFill="1" applyBorder="1" applyAlignment="1">
      <alignment vertical="center"/>
    </xf>
    <xf numFmtId="0" fontId="0" fillId="4" borderId="0" xfId="0" applyFill="1" applyAlignment="1">
      <alignment vertical="center"/>
    </xf>
    <xf numFmtId="0" fontId="7" fillId="3" borderId="2" xfId="0" applyFont="1" applyFill="1" applyBorder="1" applyAlignment="1">
      <alignment horizontal="center" vertical="center"/>
    </xf>
    <xf numFmtId="0" fontId="7" fillId="3" borderId="11" xfId="0" applyFont="1" applyFill="1" applyBorder="1" applyAlignment="1">
      <alignment horizontal="center" vertical="center"/>
    </xf>
    <xf numFmtId="0" fontId="6" fillId="3" borderId="0" xfId="0" applyFont="1" applyFill="1" applyBorder="1" applyAlignment="1"/>
    <xf numFmtId="0" fontId="6" fillId="3" borderId="0" xfId="0" applyFont="1" applyFill="1" applyBorder="1" applyAlignment="1">
      <alignment horizontal="left"/>
    </xf>
    <xf numFmtId="0" fontId="6" fillId="3" borderId="4" xfId="0" applyFont="1" applyFill="1" applyBorder="1" applyAlignment="1">
      <alignment horizontal="left"/>
    </xf>
    <xf numFmtId="0" fontId="8" fillId="3" borderId="12" xfId="0" applyFont="1" applyFill="1" applyBorder="1" applyAlignment="1">
      <alignment horizontal="center" vertical="center"/>
    </xf>
    <xf numFmtId="0" fontId="8" fillId="3" borderId="13" xfId="0" applyFont="1" applyFill="1" applyBorder="1" applyAlignment="1">
      <alignment horizontal="center" vertical="center"/>
    </xf>
    <xf numFmtId="0" fontId="6" fillId="3" borderId="9" xfId="0" applyFont="1" applyFill="1" applyBorder="1" applyAlignment="1">
      <alignment horizontal="center" vertical="center"/>
    </xf>
    <xf numFmtId="0" fontId="6" fillId="3" borderId="10" xfId="0" applyFont="1" applyFill="1" applyBorder="1" applyAlignment="1">
      <alignment horizontal="center" vertical="center"/>
    </xf>
    <xf numFmtId="0" fontId="0" fillId="4" borderId="9" xfId="0" applyFill="1" applyBorder="1" applyAlignment="1">
      <alignment horizontal="center"/>
    </xf>
    <xf numFmtId="0" fontId="0" fillId="4" borderId="10" xfId="0" applyFill="1" applyBorder="1" applyAlignment="1">
      <alignment horizontal="center"/>
    </xf>
    <xf numFmtId="0" fontId="9" fillId="4" borderId="9" xfId="0" applyFont="1" applyFill="1" applyBorder="1" applyAlignment="1">
      <alignment horizontal="left"/>
    </xf>
  </cellXfs>
  <cellStyles count="1">
    <cellStyle name="Normal" xfId="0" builtinId="0"/>
  </cellStyles>
  <dxfs count="4">
    <dxf>
      <font>
        <color rgb="FF0000FF"/>
      </font>
    </dxf>
    <dxf>
      <font>
        <color rgb="FFFF0000"/>
      </font>
    </dxf>
    <dxf>
      <font>
        <b/>
        <i val="0"/>
        <color theme="0"/>
      </font>
      <fill>
        <gradientFill degree="270">
          <stop position="0">
            <color rgb="FFFF6464"/>
          </stop>
          <stop position="1">
            <color rgb="FFFF0000"/>
          </stop>
        </gradientFill>
      </fill>
    </dxf>
    <dxf>
      <font>
        <b/>
        <i val="0"/>
        <color theme="0"/>
      </font>
      <fill>
        <gradientFill degree="90">
          <stop position="0">
            <color rgb="FF6464FF"/>
          </stop>
          <stop position="1">
            <color rgb="FF0000FF"/>
          </stop>
        </gradientFill>
      </fill>
    </dxf>
  </dxfs>
  <tableStyles count="0" defaultTableStyle="TableStyleMedium2" defaultPivotStyle="PivotStyleLight16"/>
  <colors>
    <mruColors>
      <color rgb="FFFF5A00"/>
      <color rgb="FF0000FF"/>
      <color rgb="FF6464FF"/>
      <color rgb="FFFF6464"/>
      <color rgb="FFFF4646"/>
      <color rgb="FFFF323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85726</xdr:colOff>
      <xdr:row>9</xdr:row>
      <xdr:rowOff>133350</xdr:rowOff>
    </xdr:from>
    <xdr:to>
      <xdr:col>8</xdr:col>
      <xdr:colOff>28576</xdr:colOff>
      <xdr:row>11</xdr:row>
      <xdr:rowOff>38100</xdr:rowOff>
    </xdr:to>
    <xdr:sp macro="[0]!ThisWorkbook.SendMasterOrder" textlink="">
      <xdr:nvSpPr>
        <xdr:cNvPr id="2" name="Rounded Rectangle 1"/>
        <xdr:cNvSpPr/>
      </xdr:nvSpPr>
      <xdr:spPr>
        <a:xfrm>
          <a:off x="1828801" y="1771650"/>
          <a:ext cx="666750" cy="285750"/>
        </a:xfrm>
        <a:prstGeom prst="roundRect">
          <a:avLst>
            <a:gd name="adj" fmla="val 33334"/>
          </a:avLst>
        </a:prstGeom>
        <a:solidFill>
          <a:srgbClr val="00B0F0"/>
        </a:solidFill>
        <a:ln w="28575">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t>Submit</a:t>
          </a:r>
        </a:p>
      </xdr:txBody>
    </xdr:sp>
    <xdr:clientData/>
  </xdr:twoCellAnchor>
  <xdr:twoCellAnchor>
    <xdr:from>
      <xdr:col>9</xdr:col>
      <xdr:colOff>38100</xdr:colOff>
      <xdr:row>9</xdr:row>
      <xdr:rowOff>133350</xdr:rowOff>
    </xdr:from>
    <xdr:to>
      <xdr:col>10</xdr:col>
      <xdr:colOff>95250</xdr:colOff>
      <xdr:row>11</xdr:row>
      <xdr:rowOff>38100</xdr:rowOff>
    </xdr:to>
    <xdr:sp macro="[0]!ThisWorkbook.Clear" textlink="">
      <xdr:nvSpPr>
        <xdr:cNvPr id="4" name="Rounded Rectangle 3"/>
        <xdr:cNvSpPr/>
      </xdr:nvSpPr>
      <xdr:spPr>
        <a:xfrm>
          <a:off x="2619375" y="1771650"/>
          <a:ext cx="666750" cy="285750"/>
        </a:xfrm>
        <a:prstGeom prst="roundRect">
          <a:avLst>
            <a:gd name="adj" fmla="val 33334"/>
          </a:avLst>
        </a:prstGeom>
        <a:solidFill>
          <a:srgbClr val="FF5A00"/>
        </a:solidFill>
        <a:ln w="28575">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t>Clear</a:t>
          </a:r>
        </a:p>
      </xdr:txBody>
    </xdr:sp>
    <xdr:clientData/>
  </xdr:twoCellAnchor>
  <xdr:oneCellAnchor>
    <xdr:from>
      <xdr:col>7</xdr:col>
      <xdr:colOff>200025</xdr:colOff>
      <xdr:row>0</xdr:row>
      <xdr:rowOff>104775</xdr:rowOff>
    </xdr:from>
    <xdr:ext cx="2901692" cy="374141"/>
    <xdr:sp macro="" textlink="">
      <xdr:nvSpPr>
        <xdr:cNvPr id="7" name="TextBox 6"/>
        <xdr:cNvSpPr txBox="1"/>
      </xdr:nvSpPr>
      <xdr:spPr>
        <a:xfrm>
          <a:off x="2266950" y="104775"/>
          <a:ext cx="2901692"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Trading </a:t>
          </a:r>
          <a:r>
            <a:rPr lang="en-US" sz="1800" b="1" baseline="0">
              <a:solidFill>
                <a:srgbClr val="FF6600"/>
              </a:solidFill>
            </a:rPr>
            <a:t>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Bracket Order</a:t>
          </a:r>
          <a:endParaRPr lang="en-US" sz="1800" b="0">
            <a:solidFill>
              <a:schemeClr val="tx1">
                <a:lumMod val="50000"/>
                <a:lumOff val="50000"/>
              </a:schemeClr>
            </a:solidFill>
          </a:endParaRPr>
        </a:p>
      </xdr:txBody>
    </xdr:sp>
    <xdr:clientData/>
  </xdr:oneCellAnchor>
  <xdr:twoCellAnchor editAs="oneCell">
    <xdr:from>
      <xdr:col>0</xdr:col>
      <xdr:colOff>85725</xdr:colOff>
      <xdr:row>0</xdr:row>
      <xdr:rowOff>114302</xdr:rowOff>
    </xdr:from>
    <xdr:to>
      <xdr:col>7</xdr:col>
      <xdr:colOff>209550</xdr:colOff>
      <xdr:row>0</xdr:row>
      <xdr:rowOff>495302</xdr:rowOff>
    </xdr:to>
    <xdr:pic>
      <xdr:nvPicPr>
        <xdr:cNvPr id="8" name="Picture 7"/>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85725"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342900</xdr:colOff>
      <xdr:row>0</xdr:row>
      <xdr:rowOff>85725</xdr:rowOff>
    </xdr:from>
    <xdr:ext cx="3105150" cy="374141"/>
    <xdr:sp macro="" textlink="">
      <xdr:nvSpPr>
        <xdr:cNvPr id="5" name="TextBox 4"/>
        <xdr:cNvSpPr txBox="1"/>
      </xdr:nvSpPr>
      <xdr:spPr>
        <a:xfrm>
          <a:off x="2238375"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Settings</a:t>
          </a:r>
        </a:p>
      </xdr:txBody>
    </xdr:sp>
    <xdr:clientData/>
  </xdr:oneCellAnchor>
  <xdr:twoCellAnchor editAs="oneCell">
    <xdr:from>
      <xdr:col>0</xdr:col>
      <xdr:colOff>38100</xdr:colOff>
      <xdr:row>0</xdr:row>
      <xdr:rowOff>104775</xdr:rowOff>
    </xdr:from>
    <xdr:to>
      <xdr:col>3</xdr:col>
      <xdr:colOff>333375</xdr:colOff>
      <xdr:row>0</xdr:row>
      <xdr:rowOff>485775</xdr:rowOff>
    </xdr:to>
    <xdr:pic>
      <xdr:nvPicPr>
        <xdr:cNvPr id="6" name="Picture 5"/>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38100" y="104775"/>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3</xdr:col>
      <xdr:colOff>419100</xdr:colOff>
      <xdr:row>0</xdr:row>
      <xdr:rowOff>95250</xdr:rowOff>
    </xdr:from>
    <xdr:ext cx="3105150" cy="374141"/>
    <xdr:sp macro="" textlink="">
      <xdr:nvSpPr>
        <xdr:cNvPr id="4" name="TextBox 3"/>
        <xdr:cNvSpPr txBox="1"/>
      </xdr:nvSpPr>
      <xdr:spPr>
        <a:xfrm>
          <a:off x="231457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47625</xdr:colOff>
      <xdr:row>0</xdr:row>
      <xdr:rowOff>104775</xdr:rowOff>
    </xdr:from>
    <xdr:to>
      <xdr:col>3</xdr:col>
      <xdr:colOff>342900</xdr:colOff>
      <xdr:row>0</xdr:row>
      <xdr:rowOff>485775</xdr:rowOff>
    </xdr:to>
    <xdr:pic>
      <xdr:nvPicPr>
        <xdr:cNvPr id="5" name="Picture 4"/>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47625" y="104775"/>
          <a:ext cx="2190750" cy="381000"/>
        </a:xfrm>
        <a:prstGeom prst="rect">
          <a:avLst/>
        </a:prstGeom>
      </xdr:spPr>
    </xdr:pic>
    <xdr:clientData/>
  </xdr:twoCellAnchor>
  <xdr:oneCellAnchor>
    <xdr:from>
      <xdr:col>0</xdr:col>
      <xdr:colOff>95250</xdr:colOff>
      <xdr:row>1</xdr:row>
      <xdr:rowOff>123825</xdr:rowOff>
    </xdr:from>
    <xdr:ext cx="8124825" cy="2781300"/>
    <xdr:sp macro="" textlink="">
      <xdr:nvSpPr>
        <xdr:cNvPr id="7" name="TextBox 6"/>
        <xdr:cNvSpPr txBox="1"/>
      </xdr:nvSpPr>
      <xdr:spPr>
        <a:xfrm>
          <a:off x="95250" y="69532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externalLink1.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L1">
    <ddeItems>
      <ddeItem name="F;AP" advise="1">
        <values>
          <value>
            <val>11.53</val>
          </value>
        </values>
      </ddeItem>
      <ddeItem name="F;BP" advise="1">
        <values>
          <value>
            <val>11.52</val>
          </value>
        </values>
      </ddeItem>
      <ddeItem name="F;DESCRIPTION" advise="1">
        <values>
          <value t="str">
            <val>FORD MOTOR COMPANY CMN</val>
          </value>
        </values>
      </ddeItem>
      <ddeItem name="F;LP" advise="1">
        <values>
          <value>
            <val>11.525</val>
          </value>
        </values>
      </ddeItem>
      <ddeItem name="StdDocumentName" ole="1" advise="1"/>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11"/>
  <sheetViews>
    <sheetView tabSelected="1" workbookViewId="0">
      <selection activeCell="V2" sqref="V2"/>
    </sheetView>
  </sheetViews>
  <sheetFormatPr defaultRowHeight="15" x14ac:dyDescent="0.25"/>
  <cols>
    <col min="1" max="1" width="2" style="2" customWidth="1"/>
    <col min="2" max="2" width="1.7109375" style="2" customWidth="1"/>
    <col min="3" max="3" width="11.42578125" style="2" customWidth="1"/>
    <col min="4" max="4" width="1.7109375" style="2" customWidth="1"/>
    <col min="5" max="5" width="10.7109375" style="2" customWidth="1"/>
    <col min="6" max="7" width="1.7109375" style="2" customWidth="1"/>
    <col min="8" max="8" width="11.5703125" style="2" customWidth="1"/>
    <col min="9" max="9" width="1.7109375" style="2" customWidth="1"/>
    <col min="10" max="10" width="11.42578125" style="2" customWidth="1"/>
    <col min="11" max="12" width="1.7109375" style="2" customWidth="1"/>
    <col min="13" max="13" width="17" style="2" customWidth="1"/>
    <col min="14" max="14" width="9.42578125" style="2" customWidth="1"/>
    <col min="15" max="15" width="9" style="2" customWidth="1"/>
    <col min="16" max="16" width="8.85546875" style="2" customWidth="1"/>
    <col min="17" max="17" width="9.5703125" style="2" customWidth="1"/>
    <col min="18" max="18" width="10.28515625" style="2" customWidth="1"/>
    <col min="19" max="19" width="10.42578125" style="2" customWidth="1"/>
    <col min="20" max="16384" width="9.140625" style="2"/>
  </cols>
  <sheetData>
    <row r="1" spans="1:19" ht="45" customHeight="1" x14ac:dyDescent="0.25">
      <c r="B1" s="12"/>
      <c r="C1" s="12"/>
      <c r="D1" s="12"/>
      <c r="E1" s="12"/>
      <c r="F1" s="12"/>
      <c r="G1" s="12"/>
      <c r="H1" s="12"/>
      <c r="I1" s="12"/>
      <c r="J1" s="12"/>
      <c r="K1" s="12"/>
    </row>
    <row r="2" spans="1:19" ht="20.100000000000001" customHeight="1" x14ac:dyDescent="0.25">
      <c r="A2" s="12"/>
      <c r="B2" s="18"/>
      <c r="C2" s="67" t="s">
        <v>15</v>
      </c>
      <c r="D2" s="67"/>
      <c r="E2" s="67"/>
      <c r="F2" s="67"/>
      <c r="G2" s="67"/>
      <c r="H2" s="67"/>
      <c r="I2" s="67"/>
      <c r="J2" s="67"/>
      <c r="K2" s="19"/>
      <c r="M2" s="15" t="s">
        <v>12</v>
      </c>
      <c r="N2" s="5">
        <f>[1]!'F;LP'</f>
        <v>11.525</v>
      </c>
      <c r="P2" s="72"/>
      <c r="Q2" s="73"/>
      <c r="R2" s="40" t="s">
        <v>9</v>
      </c>
      <c r="S2" s="40" t="s">
        <v>10</v>
      </c>
    </row>
    <row r="3" spans="1:19" ht="20.100000000000001" customHeight="1" thickBot="1" x14ac:dyDescent="0.3">
      <c r="A3" s="12"/>
      <c r="B3" s="20"/>
      <c r="C3" s="31" t="s">
        <v>32</v>
      </c>
      <c r="D3" s="21"/>
      <c r="E3" s="21" t="s">
        <v>33</v>
      </c>
      <c r="F3" s="21"/>
      <c r="G3" s="21"/>
      <c r="H3" s="21" t="s">
        <v>34</v>
      </c>
      <c r="I3" s="21"/>
      <c r="J3" s="21" t="s">
        <v>35</v>
      </c>
      <c r="K3" s="1"/>
      <c r="M3" s="15" t="s">
        <v>13</v>
      </c>
      <c r="N3" s="6">
        <f>[1]!'F;BP'</f>
        <v>11.52</v>
      </c>
      <c r="O3" s="13"/>
      <c r="P3" s="68" t="s">
        <v>8</v>
      </c>
      <c r="Q3" s="69"/>
      <c r="R3" s="7">
        <f>IF(C4="Buy",H4*(E8-J4),H4*(J4-E8))</f>
        <v>2500</v>
      </c>
      <c r="S3" s="8">
        <f>IF(C4="Buy",IF(S8&gt;0,Q8*(S8-S7),"N/A"),IF(S8&gt;0,Q8*(S7-S8),"N/A"))</f>
        <v>2500</v>
      </c>
    </row>
    <row r="4" spans="1:19" ht="20.100000000000001" customHeight="1" thickBot="1" x14ac:dyDescent="0.3">
      <c r="A4" s="12"/>
      <c r="B4" s="22"/>
      <c r="C4" s="32" t="s">
        <v>1</v>
      </c>
      <c r="D4" s="33"/>
      <c r="E4" s="34" t="s">
        <v>22</v>
      </c>
      <c r="F4" s="33"/>
      <c r="G4" s="33"/>
      <c r="H4" s="35">
        <v>1000</v>
      </c>
      <c r="I4" s="33"/>
      <c r="J4" s="36">
        <v>10.45</v>
      </c>
      <c r="K4" s="1"/>
      <c r="M4" s="16" t="s">
        <v>14</v>
      </c>
      <c r="N4" s="9">
        <f>[1]!'F;AP'</f>
        <v>11.53</v>
      </c>
      <c r="O4" s="13"/>
      <c r="P4" s="70" t="s">
        <v>11</v>
      </c>
      <c r="Q4" s="71"/>
      <c r="R4" s="10">
        <f>IF(C4="Buy",H4*(J8-J4),H4*(J4-J8))</f>
        <v>-99.999999999999645</v>
      </c>
      <c r="S4" s="11" t="str">
        <f>IF(C4="Buy",IF(S9&gt;0,Q9*(S9-S7),"N/A"),IF(S9&gt;0,Q9*(S7-S9),"N/A"))</f>
        <v>N/A</v>
      </c>
    </row>
    <row r="5" spans="1:19" ht="20.100000000000001" customHeight="1" x14ac:dyDescent="0.25">
      <c r="A5" s="12"/>
      <c r="B5" s="23"/>
      <c r="C5" s="24"/>
      <c r="D5" s="24"/>
      <c r="E5" s="25"/>
      <c r="F5" s="24"/>
      <c r="G5" s="24"/>
      <c r="H5" s="24"/>
      <c r="I5" s="24"/>
      <c r="J5" s="24"/>
      <c r="K5" s="1"/>
      <c r="M5" s="74" t="str">
        <f>[1]!'F;DESCRIPTION'</f>
        <v>FORD MOTOR COMPANY CMN</v>
      </c>
      <c r="N5" s="74"/>
      <c r="O5" s="74"/>
      <c r="P5" s="74"/>
      <c r="Q5" s="74"/>
      <c r="R5" s="74"/>
      <c r="S5" s="74"/>
    </row>
    <row r="6" spans="1:19" ht="20.100000000000001" customHeight="1" x14ac:dyDescent="0.25">
      <c r="A6" s="12"/>
      <c r="B6" s="20"/>
      <c r="C6" s="65" t="s">
        <v>3</v>
      </c>
      <c r="D6" s="28"/>
      <c r="E6" s="28"/>
      <c r="F6" s="29"/>
      <c r="G6" s="28"/>
      <c r="H6" s="66" t="s">
        <v>4</v>
      </c>
      <c r="I6" s="66"/>
      <c r="J6" s="66"/>
      <c r="K6" s="19"/>
      <c r="M6" s="41" t="s">
        <v>6</v>
      </c>
      <c r="N6" s="41" t="s">
        <v>7</v>
      </c>
      <c r="O6" s="15" t="s">
        <v>0</v>
      </c>
      <c r="P6" s="42" t="s">
        <v>29</v>
      </c>
      <c r="Q6" s="15" t="s">
        <v>28</v>
      </c>
      <c r="R6" s="15" t="s">
        <v>5</v>
      </c>
      <c r="S6" s="43" t="s">
        <v>27</v>
      </c>
    </row>
    <row r="7" spans="1:19" ht="20.100000000000001" customHeight="1" thickBot="1" x14ac:dyDescent="0.3">
      <c r="A7" s="12"/>
      <c r="B7" s="20"/>
      <c r="C7" s="21" t="s">
        <v>0</v>
      </c>
      <c r="D7" s="21"/>
      <c r="E7" s="21" t="s">
        <v>30</v>
      </c>
      <c r="F7" s="30"/>
      <c r="G7" s="21"/>
      <c r="H7" s="21" t="s">
        <v>0</v>
      </c>
      <c r="I7" s="21"/>
      <c r="J7" s="21" t="s">
        <v>31</v>
      </c>
      <c r="K7" s="1"/>
      <c r="M7" s="44" t="s">
        <v>15</v>
      </c>
      <c r="N7" s="45" t="s">
        <v>24</v>
      </c>
      <c r="O7" s="46" t="s">
        <v>23</v>
      </c>
      <c r="P7" s="47">
        <v>1000</v>
      </c>
      <c r="Q7" s="47">
        <v>1000</v>
      </c>
      <c r="R7" s="48">
        <f>Q7/P7</f>
        <v>1</v>
      </c>
      <c r="S7" s="49">
        <v>10.45</v>
      </c>
    </row>
    <row r="8" spans="1:19" ht="20.100000000000001" customHeight="1" thickBot="1" x14ac:dyDescent="0.3">
      <c r="A8" s="12"/>
      <c r="B8" s="20"/>
      <c r="C8" s="37" t="str">
        <f>IF(C4="Buy","Sell","Buy")</f>
        <v>Sell</v>
      </c>
      <c r="D8" s="38"/>
      <c r="E8" s="36">
        <v>12.95</v>
      </c>
      <c r="F8" s="39"/>
      <c r="G8" s="38"/>
      <c r="H8" s="37" t="str">
        <f>IF(C4="Buy", "Sell", "Buy")</f>
        <v>Sell</v>
      </c>
      <c r="I8" s="38"/>
      <c r="J8" s="36">
        <v>10.35</v>
      </c>
      <c r="K8" s="1"/>
      <c r="M8" s="50" t="s">
        <v>36</v>
      </c>
      <c r="N8" s="51" t="s">
        <v>24</v>
      </c>
      <c r="O8" s="52" t="s">
        <v>25</v>
      </c>
      <c r="P8" s="53">
        <v>1000</v>
      </c>
      <c r="Q8" s="53">
        <v>1000</v>
      </c>
      <c r="R8" s="54">
        <f>Q8/P8</f>
        <v>1</v>
      </c>
      <c r="S8" s="55">
        <v>12.95</v>
      </c>
    </row>
    <row r="9" spans="1:19" ht="20.100000000000001" customHeight="1" x14ac:dyDescent="0.25">
      <c r="A9" s="12"/>
      <c r="B9" s="23"/>
      <c r="C9" s="24"/>
      <c r="D9" s="24"/>
      <c r="E9" s="24"/>
      <c r="F9" s="26"/>
      <c r="G9" s="24"/>
      <c r="H9" s="24"/>
      <c r="I9" s="24"/>
      <c r="J9" s="24"/>
      <c r="K9" s="26"/>
      <c r="M9" s="56" t="s">
        <v>16</v>
      </c>
      <c r="N9" s="57" t="s">
        <v>26</v>
      </c>
      <c r="O9" s="58" t="s">
        <v>25</v>
      </c>
      <c r="P9" s="59">
        <v>1000</v>
      </c>
      <c r="Q9" s="59">
        <v>0</v>
      </c>
      <c r="R9" s="60">
        <f>Q9/P9</f>
        <v>0</v>
      </c>
      <c r="S9" s="61">
        <v>0</v>
      </c>
    </row>
    <row r="10" spans="1:19" ht="15" customHeight="1" x14ac:dyDescent="0.25">
      <c r="B10" s="14" t="s">
        <v>21</v>
      </c>
      <c r="Q10" s="17"/>
    </row>
    <row r="11" spans="1:19" ht="15" customHeight="1" x14ac:dyDescent="0.25">
      <c r="Q11" s="12"/>
    </row>
  </sheetData>
  <mergeCells count="6">
    <mergeCell ref="H6:J6"/>
    <mergeCell ref="C2:J2"/>
    <mergeCell ref="P3:Q3"/>
    <mergeCell ref="P4:Q4"/>
    <mergeCell ref="P2:Q2"/>
    <mergeCell ref="M5:S5"/>
  </mergeCells>
  <conditionalFormatting sqref="C4 C8 H8">
    <cfRule type="containsText" dxfId="3" priority="10" operator="containsText" text="Buy">
      <formula>NOT(ISERROR(SEARCH("Buy",C4)))</formula>
    </cfRule>
    <cfRule type="containsText" dxfId="2" priority="11" operator="containsText" text="Sell">
      <formula>NOT(ISERROR(SEARCH("Sell",C4)))</formula>
    </cfRule>
  </conditionalFormatting>
  <conditionalFormatting sqref="R7:R9">
    <cfRule type="dataBar" priority="3">
      <dataBar>
        <cfvo type="num" val="0"/>
        <cfvo type="num" val="1"/>
        <color rgb="FF63C384"/>
      </dataBar>
      <extLst>
        <ext xmlns:x14="http://schemas.microsoft.com/office/spreadsheetml/2009/9/main" uri="{B025F937-C7B1-47D3-B67F-A62EFF666E3E}">
          <x14:id>{02F06210-A2ED-46E1-BE04-F1FCBAB769FA}</x14:id>
        </ext>
      </extLst>
    </cfRule>
  </conditionalFormatting>
  <conditionalFormatting sqref="R3:S4">
    <cfRule type="cellIs" dxfId="1" priority="1" operator="lessThan">
      <formula>0</formula>
    </cfRule>
    <cfRule type="cellIs" dxfId="0" priority="2" operator="greaterThan">
      <formula>0</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02F06210-A2ED-46E1-BE04-F1FCBAB769FA}">
            <x14:dataBar minLength="0" maxLength="100" gradient="0">
              <x14:cfvo type="num">
                <xm:f>0</xm:f>
              </x14:cfvo>
              <x14:cfvo type="num">
                <xm:f>1</xm:f>
              </x14:cfvo>
              <x14:negativeFillColor rgb="FFFF0000"/>
              <x14:axisColor rgb="FF000000"/>
            </x14:dataBar>
          </x14:cfRule>
          <xm:sqref>R7:R9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REDISettings!$A$3:$A$4</xm:f>
          </x14:formula1>
          <xm:sqref>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
  <sheetViews>
    <sheetView workbookViewId="0">
      <pane ySplit="1" topLeftCell="A2" activePane="bottomLeft" state="frozen"/>
      <selection pane="bottomLeft" activeCell="K6" sqref="K6"/>
    </sheetView>
  </sheetViews>
  <sheetFormatPr defaultRowHeight="15" x14ac:dyDescent="0.25"/>
  <cols>
    <col min="1" max="2" width="9.140625" style="2"/>
    <col min="3" max="3" width="10.140625" style="2" bestFit="1" customWidth="1"/>
    <col min="4" max="16384" width="9.140625" style="2"/>
  </cols>
  <sheetData>
    <row r="1" spans="1:3" ht="45" customHeight="1" x14ac:dyDescent="0.25"/>
    <row r="2" spans="1:3" s="62" customFormat="1" ht="20.100000000000001" customHeight="1" x14ac:dyDescent="0.25">
      <c r="A2" s="63" t="s">
        <v>0</v>
      </c>
      <c r="B2" s="64" t="s">
        <v>17</v>
      </c>
      <c r="C2" s="63" t="s">
        <v>19</v>
      </c>
    </row>
    <row r="3" spans="1:3" x14ac:dyDescent="0.25">
      <c r="A3" s="3" t="s">
        <v>1</v>
      </c>
      <c r="B3" s="4" t="s">
        <v>18</v>
      </c>
      <c r="C3" s="3" t="s">
        <v>20</v>
      </c>
    </row>
    <row r="4" spans="1:3" x14ac:dyDescent="0.25">
      <c r="A4" s="3" t="s">
        <v>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9"/>
  <sheetViews>
    <sheetView workbookViewId="0">
      <pane ySplit="1" topLeftCell="A2" activePane="bottomLeft" state="frozen"/>
      <selection pane="bottomLeft" activeCell="F20" sqref="F20"/>
    </sheetView>
  </sheetViews>
  <sheetFormatPr defaultRowHeight="15" x14ac:dyDescent="0.25"/>
  <cols>
    <col min="1" max="2" width="9.140625" style="2"/>
    <col min="3" max="3" width="10.140625" style="2" bestFit="1" customWidth="1"/>
    <col min="4" max="16384" width="9.140625" style="2"/>
  </cols>
  <sheetData>
    <row r="1" spans="1:4" ht="45" customHeight="1" x14ac:dyDescent="0.25">
      <c r="A1" s="12"/>
      <c r="B1" s="12"/>
      <c r="C1" s="12"/>
      <c r="D1" s="12"/>
    </row>
    <row r="2" spans="1:4" x14ac:dyDescent="0.25">
      <c r="A2" s="27"/>
      <c r="B2" s="27"/>
      <c r="C2" s="27"/>
      <c r="D2" s="12"/>
    </row>
    <row r="3" spans="1:4" x14ac:dyDescent="0.25">
      <c r="A3" s="12"/>
      <c r="B3" s="12"/>
      <c r="C3" s="12"/>
      <c r="D3" s="12"/>
    </row>
    <row r="4" spans="1:4" x14ac:dyDescent="0.25">
      <c r="A4" s="12"/>
      <c r="B4" s="12"/>
      <c r="C4" s="12"/>
      <c r="D4" s="12"/>
    </row>
    <row r="5" spans="1:4" x14ac:dyDescent="0.25">
      <c r="A5" s="12"/>
      <c r="B5" s="12"/>
      <c r="C5" s="12"/>
      <c r="D5" s="12"/>
    </row>
    <row r="6" spans="1:4" x14ac:dyDescent="0.25">
      <c r="A6" s="12"/>
      <c r="B6" s="12"/>
      <c r="C6" s="12"/>
      <c r="D6" s="12"/>
    </row>
    <row r="7" spans="1:4" x14ac:dyDescent="0.25">
      <c r="A7" s="12"/>
      <c r="B7" s="12"/>
      <c r="C7" s="12"/>
      <c r="D7" s="12"/>
    </row>
    <row r="8" spans="1:4" x14ac:dyDescent="0.25">
      <c r="A8" s="12"/>
      <c r="B8" s="12"/>
      <c r="C8" s="12"/>
      <c r="D8" s="12"/>
    </row>
    <row r="9" spans="1:4" x14ac:dyDescent="0.25">
      <c r="A9" s="12"/>
      <c r="B9" s="12"/>
      <c r="C9" s="12"/>
      <c r="D9" s="12"/>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BracketOrder</vt:lpstr>
      <vt:lpstr>REDISettings</vt:lpstr>
      <vt:lpstr>Disclaimer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Min Park</cp:lastModifiedBy>
  <dcterms:created xsi:type="dcterms:W3CDTF">2016-12-09T19:51:28Z</dcterms:created>
  <dcterms:modified xsi:type="dcterms:W3CDTF">2017-07-21T15:09:43Z</dcterms:modified>
</cp:coreProperties>
</file>